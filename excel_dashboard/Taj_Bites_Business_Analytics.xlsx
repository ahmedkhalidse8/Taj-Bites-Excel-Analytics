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hidePivotFieldList="1" defaultThemeVersion="164011"/>
  <bookViews>
    <workbookView xWindow="0" yWindow="0" windowWidth="22260" windowHeight="12645"/>
  </bookViews>
  <sheets>
    <sheet name="Historical Data" sheetId="2" r:id="rId1"/>
    <sheet name="Data Dictionary" sheetId="4" r:id="rId2"/>
    <sheet name="Data Quality" sheetId="3" r:id="rId3"/>
    <sheet name="Daily_Analysis" sheetId="8" r:id="rId4"/>
    <sheet name="Formula Analysis" sheetId="5" r:id="rId5"/>
    <sheet name="PivotTables" sheetId="7" r:id="rId6"/>
    <sheet name="Business Insights" sheetId="10" r:id="rId7"/>
    <sheet name="Executive Dashboard" sheetId="6" r:id="rId8"/>
  </sheets>
  <definedNames>
    <definedName name="ExternalData_1" localSheetId="0" hidden="1">'Historical Data'!$A$1:$X$382</definedName>
    <definedName name="Slicer_Day_Name">#N/A</definedName>
    <definedName name="Slicer_Month">#N/A</definedName>
    <definedName name="Slicer_Quarter">#N/A</definedName>
    <definedName name="Slicer_Year">#N/A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6" i="10" l="1"/>
  <c r="H26" i="10"/>
  <c r="G26" i="10"/>
  <c r="I25" i="10"/>
  <c r="I27" i="10" s="1"/>
  <c r="H25" i="10"/>
  <c r="G25" i="10"/>
  <c r="G17" i="10"/>
  <c r="H17" i="10"/>
  <c r="I17" i="10"/>
  <c r="G18" i="10"/>
  <c r="H18" i="10"/>
  <c r="I18" i="10"/>
  <c r="G19" i="10"/>
  <c r="H19" i="10"/>
  <c r="I19" i="10"/>
  <c r="G20" i="10"/>
  <c r="H20" i="10"/>
  <c r="I20" i="10"/>
  <c r="G21" i="10"/>
  <c r="H21" i="10"/>
  <c r="I21" i="10"/>
  <c r="G22" i="10"/>
  <c r="H22" i="10"/>
  <c r="I22" i="10"/>
  <c r="I16" i="10"/>
  <c r="H16" i="10"/>
  <c r="G16" i="10"/>
  <c r="B17" i="10"/>
  <c r="C17" i="10"/>
  <c r="D17" i="10"/>
  <c r="B18" i="10"/>
  <c r="C18" i="10"/>
  <c r="D18" i="10"/>
  <c r="B19" i="10"/>
  <c r="C19" i="10"/>
  <c r="D19" i="10"/>
  <c r="B20" i="10"/>
  <c r="C20" i="10"/>
  <c r="D20" i="10"/>
  <c r="B21" i="10"/>
  <c r="C21" i="10"/>
  <c r="D21" i="10"/>
  <c r="B22" i="10"/>
  <c r="C22" i="10"/>
  <c r="D22" i="10"/>
  <c r="B23" i="10"/>
  <c r="C23" i="10"/>
  <c r="D23" i="10"/>
  <c r="B24" i="10"/>
  <c r="C24" i="10"/>
  <c r="D24" i="10"/>
  <c r="B25" i="10"/>
  <c r="C25" i="10"/>
  <c r="D25" i="10"/>
  <c r="B26" i="10"/>
  <c r="C26" i="10"/>
  <c r="D26" i="10"/>
  <c r="B27" i="10"/>
  <c r="C27" i="10"/>
  <c r="D27" i="10"/>
  <c r="D16" i="10"/>
  <c r="C16" i="10"/>
  <c r="B16" i="10"/>
  <c r="B12" i="10"/>
  <c r="B11" i="10"/>
  <c r="B8" i="10"/>
  <c r="B7" i="10"/>
  <c r="B6" i="10"/>
  <c r="B5" i="10"/>
  <c r="G27" i="10" l="1"/>
  <c r="E22" i="10"/>
  <c r="E18" i="10"/>
  <c r="H27" i="10"/>
  <c r="E26" i="10"/>
  <c r="E25" i="10"/>
  <c r="E21" i="10"/>
  <c r="E17" i="10"/>
  <c r="E23" i="10"/>
  <c r="E19" i="10"/>
  <c r="B10" i="10"/>
  <c r="E27" i="10"/>
  <c r="E24" i="10"/>
  <c r="E20" i="10"/>
  <c r="E16" i="10"/>
  <c r="B9" i="10"/>
  <c r="B13" i="10"/>
  <c r="B19" i="5"/>
  <c r="B18" i="5"/>
  <c r="B20" i="5" s="1"/>
  <c r="B16" i="5"/>
  <c r="B15" i="5"/>
  <c r="E18" i="5"/>
  <c r="E20" i="5" s="1"/>
  <c r="E14" i="5"/>
  <c r="E13" i="5"/>
  <c r="E15" i="5"/>
  <c r="E10" i="5"/>
  <c r="E9" i="5"/>
  <c r="E8" i="5"/>
  <c r="E7" i="5"/>
  <c r="B13" i="5"/>
  <c r="B12" i="5"/>
  <c r="B11" i="5"/>
  <c r="B10" i="5"/>
  <c r="B9" i="5"/>
  <c r="E4" i="5" s="1"/>
  <c r="B8" i="5"/>
  <c r="B7" i="5"/>
  <c r="B6" i="5"/>
  <c r="B5" i="5"/>
  <c r="B4" i="5"/>
  <c r="B3" i="5"/>
  <c r="B2" i="5"/>
  <c r="R2" i="8"/>
  <c r="S2" i="8"/>
  <c r="R3" i="8"/>
  <c r="S3" i="8"/>
  <c r="R4" i="8"/>
  <c r="S4" i="8"/>
  <c r="R5" i="8"/>
  <c r="S5" i="8"/>
  <c r="R6" i="8"/>
  <c r="S6" i="8"/>
  <c r="R7" i="8"/>
  <c r="S7" i="8"/>
  <c r="R8" i="8"/>
  <c r="S8" i="8"/>
  <c r="R9" i="8"/>
  <c r="S9" i="8"/>
  <c r="R10" i="8"/>
  <c r="S10" i="8"/>
  <c r="R11" i="8"/>
  <c r="S11" i="8"/>
  <c r="R12" i="8"/>
  <c r="S12" i="8"/>
  <c r="R13" i="8"/>
  <c r="S13" i="8"/>
  <c r="R14" i="8"/>
  <c r="S14" i="8"/>
  <c r="R15" i="8"/>
  <c r="S15" i="8"/>
  <c r="R16" i="8"/>
  <c r="S16" i="8"/>
  <c r="R17" i="8"/>
  <c r="S17" i="8"/>
  <c r="R18" i="8"/>
  <c r="S18" i="8"/>
  <c r="R19" i="8"/>
  <c r="S19" i="8"/>
  <c r="R20" i="8"/>
  <c r="S20" i="8"/>
  <c r="R21" i="8"/>
  <c r="S21" i="8"/>
  <c r="R22" i="8"/>
  <c r="S22" i="8"/>
  <c r="R23" i="8"/>
  <c r="S23" i="8"/>
  <c r="R24" i="8"/>
  <c r="S24" i="8"/>
  <c r="R25" i="8"/>
  <c r="S25" i="8"/>
  <c r="R26" i="8"/>
  <c r="S26" i="8"/>
  <c r="R27" i="8"/>
  <c r="S27" i="8"/>
  <c r="R28" i="8"/>
  <c r="S28" i="8"/>
  <c r="R29" i="8"/>
  <c r="S29" i="8"/>
  <c r="R30" i="8"/>
  <c r="S30" i="8"/>
  <c r="R31" i="8"/>
  <c r="S31" i="8"/>
  <c r="R32" i="8"/>
  <c r="S32" i="8"/>
  <c r="R33" i="8"/>
  <c r="S33" i="8"/>
  <c r="R34" i="8"/>
  <c r="S34" i="8"/>
  <c r="R35" i="8"/>
  <c r="S35" i="8"/>
  <c r="R36" i="8"/>
  <c r="S36" i="8"/>
  <c r="R37" i="8"/>
  <c r="S37" i="8"/>
  <c r="R38" i="8"/>
  <c r="S38" i="8"/>
  <c r="R39" i="8"/>
  <c r="S39" i="8"/>
  <c r="R40" i="8"/>
  <c r="S40" i="8"/>
  <c r="R41" i="8"/>
  <c r="S41" i="8"/>
  <c r="R42" i="8"/>
  <c r="S42" i="8"/>
  <c r="R43" i="8"/>
  <c r="S43" i="8"/>
  <c r="B17" i="5" l="1"/>
  <c r="E19" i="5"/>
  <c r="X42" i="8"/>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2" i="2"/>
  <c r="B31" i="3"/>
  <c r="C31" i="3" s="1"/>
  <c r="B30" i="3"/>
  <c r="C30" i="3" s="1"/>
  <c r="B29" i="3"/>
  <c r="C29" i="3" s="1"/>
  <c r="B28" i="3"/>
  <c r="C28" i="3" s="1"/>
  <c r="B27" i="3"/>
  <c r="C27" i="3" s="1"/>
  <c r="B21" i="3"/>
  <c r="C21" i="3" s="1"/>
  <c r="B25" i="3"/>
  <c r="C25" i="3" s="1"/>
  <c r="B26" i="3"/>
  <c r="C26" i="3" s="1"/>
  <c r="B24" i="3"/>
  <c r="C24" i="3" s="1"/>
  <c r="B23" i="3"/>
  <c r="C23" i="3" s="1"/>
  <c r="B20" i="3"/>
  <c r="C20" i="3" s="1"/>
  <c r="B19" i="3"/>
  <c r="C19" i="3" s="1"/>
  <c r="B18" i="3"/>
  <c r="C18" i="3" s="1"/>
  <c r="B2" i="3"/>
  <c r="C2" i="3" s="1"/>
  <c r="Y2" i="8"/>
  <c r="Y3"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Y314" i="8"/>
  <c r="Y315" i="8"/>
  <c r="Y316" i="8"/>
  <c r="Y317" i="8"/>
  <c r="Y318" i="8"/>
  <c r="Y319" i="8"/>
  <c r="Y320" i="8"/>
  <c r="Y321" i="8"/>
  <c r="Y322" i="8"/>
  <c r="Y323" i="8"/>
  <c r="Y324" i="8"/>
  <c r="Y325" i="8"/>
  <c r="Y326" i="8"/>
  <c r="Y327" i="8"/>
  <c r="Y328" i="8"/>
  <c r="Y329" i="8"/>
  <c r="Y330" i="8"/>
  <c r="Y331" i="8"/>
  <c r="Y332" i="8"/>
  <c r="Y333" i="8"/>
  <c r="Y334" i="8"/>
  <c r="Y335" i="8"/>
  <c r="Y336" i="8"/>
  <c r="Y337" i="8"/>
  <c r="Y338" i="8"/>
  <c r="Y339" i="8"/>
  <c r="Y340" i="8"/>
  <c r="Y341" i="8"/>
  <c r="Y342" i="8"/>
  <c r="Y343" i="8"/>
  <c r="Y344" i="8"/>
  <c r="Y345" i="8"/>
  <c r="Y346" i="8"/>
  <c r="Y347" i="8"/>
  <c r="Y348" i="8"/>
  <c r="Y349" i="8"/>
  <c r="Y350" i="8"/>
  <c r="Y351" i="8"/>
  <c r="Y352" i="8"/>
  <c r="Y353" i="8"/>
  <c r="Y354" i="8"/>
  <c r="Y355" i="8"/>
  <c r="Y356" i="8"/>
  <c r="Y357" i="8"/>
  <c r="Y358" i="8"/>
  <c r="Y359" i="8"/>
  <c r="Y360" i="8"/>
  <c r="Y361" i="8"/>
  <c r="Y362" i="8"/>
  <c r="Y363" i="8"/>
  <c r="Y364" i="8"/>
  <c r="Y365" i="8"/>
  <c r="Y366" i="8"/>
  <c r="Y367" i="8"/>
  <c r="Y368" i="8"/>
  <c r="Y369" i="8"/>
  <c r="Y370" i="8"/>
  <c r="Y371" i="8"/>
  <c r="Y372" i="8"/>
  <c r="Y373" i="8"/>
  <c r="Y374" i="8"/>
  <c r="Y375" i="8"/>
  <c r="Y376" i="8"/>
  <c r="Y377" i="8"/>
  <c r="Y378" i="8"/>
  <c r="Y379" i="8"/>
  <c r="Y380" i="8"/>
  <c r="Y381" i="8"/>
  <c r="Y382" i="8"/>
  <c r="X2" i="8"/>
  <c r="X3" i="8"/>
  <c r="X4" i="8"/>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5" i="8"/>
  <c r="X36" i="8"/>
  <c r="X37" i="8"/>
  <c r="X38" i="8"/>
  <c r="X39" i="8"/>
  <c r="X40" i="8"/>
  <c r="X41"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X106" i="8"/>
  <c r="X107" i="8"/>
  <c r="X108" i="8"/>
  <c r="X109" i="8"/>
  <c r="X110" i="8"/>
  <c r="X111" i="8"/>
  <c r="X112" i="8"/>
  <c r="X113" i="8"/>
  <c r="X114" i="8"/>
  <c r="X115" i="8"/>
  <c r="X116" i="8"/>
  <c r="X117" i="8"/>
  <c r="X118" i="8"/>
  <c r="X119" i="8"/>
  <c r="X120" i="8"/>
  <c r="X121" i="8"/>
  <c r="X122" i="8"/>
  <c r="X123" i="8"/>
  <c r="X124" i="8"/>
  <c r="X125" i="8"/>
  <c r="X126" i="8"/>
  <c r="X127" i="8"/>
  <c r="X128" i="8"/>
  <c r="X129" i="8"/>
  <c r="X130" i="8"/>
  <c r="X131" i="8"/>
  <c r="X132" i="8"/>
  <c r="X133" i="8"/>
  <c r="X134" i="8"/>
  <c r="X135" i="8"/>
  <c r="X136" i="8"/>
  <c r="X137" i="8"/>
  <c r="X138" i="8"/>
  <c r="X139" i="8"/>
  <c r="X140" i="8"/>
  <c r="X141" i="8"/>
  <c r="X142" i="8"/>
  <c r="X143" i="8"/>
  <c r="X144" i="8"/>
  <c r="X145" i="8"/>
  <c r="X146" i="8"/>
  <c r="X147" i="8"/>
  <c r="X148" i="8"/>
  <c r="X149" i="8"/>
  <c r="X150" i="8"/>
  <c r="X151" i="8"/>
  <c r="X152" i="8"/>
  <c r="X153" i="8"/>
  <c r="X154" i="8"/>
  <c r="X155" i="8"/>
  <c r="X156" i="8"/>
  <c r="X157" i="8"/>
  <c r="X158" i="8"/>
  <c r="X159" i="8"/>
  <c r="X160" i="8"/>
  <c r="X161" i="8"/>
  <c r="X162" i="8"/>
  <c r="X163" i="8"/>
  <c r="X164" i="8"/>
  <c r="X165" i="8"/>
  <c r="X166" i="8"/>
  <c r="X167" i="8"/>
  <c r="X168" i="8"/>
  <c r="X169" i="8"/>
  <c r="X170" i="8"/>
  <c r="X171" i="8"/>
  <c r="X172" i="8"/>
  <c r="X173" i="8"/>
  <c r="X174" i="8"/>
  <c r="X175" i="8"/>
  <c r="X176" i="8"/>
  <c r="X177" i="8"/>
  <c r="X178" i="8"/>
  <c r="X179" i="8"/>
  <c r="X180" i="8"/>
  <c r="X181" i="8"/>
  <c r="X182" i="8"/>
  <c r="X183" i="8"/>
  <c r="X184" i="8"/>
  <c r="X185" i="8"/>
  <c r="X186" i="8"/>
  <c r="X187" i="8"/>
  <c r="X188" i="8"/>
  <c r="X189" i="8"/>
  <c r="X190" i="8"/>
  <c r="X191" i="8"/>
  <c r="X192" i="8"/>
  <c r="X193" i="8"/>
  <c r="X194" i="8"/>
  <c r="X195" i="8"/>
  <c r="X196" i="8"/>
  <c r="X197" i="8"/>
  <c r="X198" i="8"/>
  <c r="X199" i="8"/>
  <c r="X200" i="8"/>
  <c r="X201" i="8"/>
  <c r="X202" i="8"/>
  <c r="X203" i="8"/>
  <c r="X204" i="8"/>
  <c r="X205" i="8"/>
  <c r="X206" i="8"/>
  <c r="X207" i="8"/>
  <c r="X208" i="8"/>
  <c r="X209" i="8"/>
  <c r="X210" i="8"/>
  <c r="X211" i="8"/>
  <c r="X212" i="8"/>
  <c r="X213" i="8"/>
  <c r="X214" i="8"/>
  <c r="X215" i="8"/>
  <c r="X216" i="8"/>
  <c r="X217" i="8"/>
  <c r="X218" i="8"/>
  <c r="X219" i="8"/>
  <c r="X220" i="8"/>
  <c r="X221" i="8"/>
  <c r="X222" i="8"/>
  <c r="X223" i="8"/>
  <c r="X224" i="8"/>
  <c r="X225" i="8"/>
  <c r="X226" i="8"/>
  <c r="X227" i="8"/>
  <c r="X228" i="8"/>
  <c r="X229" i="8"/>
  <c r="X230" i="8"/>
  <c r="X231" i="8"/>
  <c r="X232" i="8"/>
  <c r="X233" i="8"/>
  <c r="X234" i="8"/>
  <c r="X235" i="8"/>
  <c r="X236" i="8"/>
  <c r="X237" i="8"/>
  <c r="X238" i="8"/>
  <c r="X239" i="8"/>
  <c r="X240" i="8"/>
  <c r="X241" i="8"/>
  <c r="X242" i="8"/>
  <c r="X243" i="8"/>
  <c r="X244" i="8"/>
  <c r="X245" i="8"/>
  <c r="X246" i="8"/>
  <c r="X247" i="8"/>
  <c r="X248" i="8"/>
  <c r="X249" i="8"/>
  <c r="X250" i="8"/>
  <c r="X251" i="8"/>
  <c r="X252" i="8"/>
  <c r="X253" i="8"/>
  <c r="X254" i="8"/>
  <c r="X255" i="8"/>
  <c r="X256" i="8"/>
  <c r="X257" i="8"/>
  <c r="X258" i="8"/>
  <c r="X259" i="8"/>
  <c r="X260" i="8"/>
  <c r="X261" i="8"/>
  <c r="X262" i="8"/>
  <c r="X263" i="8"/>
  <c r="X264" i="8"/>
  <c r="X265" i="8"/>
  <c r="X266" i="8"/>
  <c r="X267" i="8"/>
  <c r="X268" i="8"/>
  <c r="X269" i="8"/>
  <c r="X270" i="8"/>
  <c r="X271" i="8"/>
  <c r="X272" i="8"/>
  <c r="X273" i="8"/>
  <c r="X274" i="8"/>
  <c r="X275" i="8"/>
  <c r="X276" i="8"/>
  <c r="X277" i="8"/>
  <c r="X278" i="8"/>
  <c r="X279" i="8"/>
  <c r="X280" i="8"/>
  <c r="X281" i="8"/>
  <c r="X282" i="8"/>
  <c r="X283" i="8"/>
  <c r="X284" i="8"/>
  <c r="X285" i="8"/>
  <c r="X286" i="8"/>
  <c r="X287" i="8"/>
  <c r="X288" i="8"/>
  <c r="X289" i="8"/>
  <c r="X290" i="8"/>
  <c r="X291" i="8"/>
  <c r="X292" i="8"/>
  <c r="X293" i="8"/>
  <c r="X294" i="8"/>
  <c r="X295" i="8"/>
  <c r="X296" i="8"/>
  <c r="X297" i="8"/>
  <c r="X298" i="8"/>
  <c r="X299" i="8"/>
  <c r="X300" i="8"/>
  <c r="X301" i="8"/>
  <c r="X302" i="8"/>
  <c r="X303" i="8"/>
  <c r="X304" i="8"/>
  <c r="X305" i="8"/>
  <c r="X306" i="8"/>
  <c r="X307" i="8"/>
  <c r="X308" i="8"/>
  <c r="X309" i="8"/>
  <c r="X310" i="8"/>
  <c r="X311" i="8"/>
  <c r="X312" i="8"/>
  <c r="X313" i="8"/>
  <c r="X314" i="8"/>
  <c r="X315" i="8"/>
  <c r="X316" i="8"/>
  <c r="X317" i="8"/>
  <c r="X318" i="8"/>
  <c r="X319" i="8"/>
  <c r="X320" i="8"/>
  <c r="X321" i="8"/>
  <c r="X322" i="8"/>
  <c r="X323" i="8"/>
  <c r="X324" i="8"/>
  <c r="X325" i="8"/>
  <c r="X326" i="8"/>
  <c r="X327" i="8"/>
  <c r="X328" i="8"/>
  <c r="X329" i="8"/>
  <c r="X330" i="8"/>
  <c r="X331" i="8"/>
  <c r="X332" i="8"/>
  <c r="X333" i="8"/>
  <c r="X334" i="8"/>
  <c r="X335" i="8"/>
  <c r="X336" i="8"/>
  <c r="X337" i="8"/>
  <c r="X338" i="8"/>
  <c r="X339" i="8"/>
  <c r="X340" i="8"/>
  <c r="X341" i="8"/>
  <c r="X342" i="8"/>
  <c r="X343" i="8"/>
  <c r="X344" i="8"/>
  <c r="X345" i="8"/>
  <c r="X346" i="8"/>
  <c r="X347" i="8"/>
  <c r="X348" i="8"/>
  <c r="X349" i="8"/>
  <c r="X350" i="8"/>
  <c r="X351" i="8"/>
  <c r="X352" i="8"/>
  <c r="X353" i="8"/>
  <c r="X354" i="8"/>
  <c r="X355" i="8"/>
  <c r="X356" i="8"/>
  <c r="X357" i="8"/>
  <c r="X358" i="8"/>
  <c r="X359" i="8"/>
  <c r="X360" i="8"/>
  <c r="X361" i="8"/>
  <c r="X362" i="8"/>
  <c r="X363" i="8"/>
  <c r="X364" i="8"/>
  <c r="X365" i="8"/>
  <c r="X366" i="8"/>
  <c r="X367" i="8"/>
  <c r="X368" i="8"/>
  <c r="X369" i="8"/>
  <c r="X370" i="8"/>
  <c r="X371" i="8"/>
  <c r="X372" i="8"/>
  <c r="X373" i="8"/>
  <c r="X374" i="8"/>
  <c r="X375" i="8"/>
  <c r="X376" i="8"/>
  <c r="X377" i="8"/>
  <c r="X378" i="8"/>
  <c r="X379" i="8"/>
  <c r="X380" i="8"/>
  <c r="X381" i="8"/>
  <c r="X382" i="8"/>
  <c r="W2" i="8"/>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W317" i="8"/>
  <c r="W318" i="8"/>
  <c r="W319" i="8"/>
  <c r="W320" i="8"/>
  <c r="W321" i="8"/>
  <c r="W322" i="8"/>
  <c r="W323" i="8"/>
  <c r="W324" i="8"/>
  <c r="W325" i="8"/>
  <c r="W326" i="8"/>
  <c r="W327" i="8"/>
  <c r="W328" i="8"/>
  <c r="W329" i="8"/>
  <c r="W330" i="8"/>
  <c r="W331" i="8"/>
  <c r="W332" i="8"/>
  <c r="W333" i="8"/>
  <c r="W334" i="8"/>
  <c r="W335" i="8"/>
  <c r="W336" i="8"/>
  <c r="W337" i="8"/>
  <c r="W338" i="8"/>
  <c r="W339" i="8"/>
  <c r="W340" i="8"/>
  <c r="W341" i="8"/>
  <c r="W342" i="8"/>
  <c r="W343" i="8"/>
  <c r="W344" i="8"/>
  <c r="W345" i="8"/>
  <c r="W346" i="8"/>
  <c r="W347" i="8"/>
  <c r="W348" i="8"/>
  <c r="W349" i="8"/>
  <c r="W350" i="8"/>
  <c r="W351" i="8"/>
  <c r="W352" i="8"/>
  <c r="W353" i="8"/>
  <c r="W354" i="8"/>
  <c r="W355" i="8"/>
  <c r="W356" i="8"/>
  <c r="W357" i="8"/>
  <c r="W358" i="8"/>
  <c r="W359" i="8"/>
  <c r="W360" i="8"/>
  <c r="W361" i="8"/>
  <c r="W362" i="8"/>
  <c r="W363" i="8"/>
  <c r="W364" i="8"/>
  <c r="W365" i="8"/>
  <c r="W366" i="8"/>
  <c r="W367" i="8"/>
  <c r="W368" i="8"/>
  <c r="W369" i="8"/>
  <c r="W370" i="8"/>
  <c r="W371" i="8"/>
  <c r="W372" i="8"/>
  <c r="W373" i="8"/>
  <c r="W374" i="8"/>
  <c r="W375" i="8"/>
  <c r="W376" i="8"/>
  <c r="W377" i="8"/>
  <c r="W378" i="8"/>
  <c r="W379" i="8"/>
  <c r="W380" i="8"/>
  <c r="W381" i="8"/>
  <c r="W382" i="8"/>
  <c r="V2"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266" i="8"/>
  <c r="V267" i="8"/>
  <c r="V268" i="8"/>
  <c r="V269" i="8"/>
  <c r="V270" i="8"/>
  <c r="V271" i="8"/>
  <c r="V272" i="8"/>
  <c r="V273" i="8"/>
  <c r="V274" i="8"/>
  <c r="V275" i="8"/>
  <c r="V276" i="8"/>
  <c r="V277" i="8"/>
  <c r="V278" i="8"/>
  <c r="V279" i="8"/>
  <c r="V280" i="8"/>
  <c r="V281" i="8"/>
  <c r="V282" i="8"/>
  <c r="V283" i="8"/>
  <c r="V284" i="8"/>
  <c r="V285" i="8"/>
  <c r="V286" i="8"/>
  <c r="V287" i="8"/>
  <c r="V288" i="8"/>
  <c r="V289" i="8"/>
  <c r="V290" i="8"/>
  <c r="V291" i="8"/>
  <c r="V292" i="8"/>
  <c r="V293" i="8"/>
  <c r="V294" i="8"/>
  <c r="V295" i="8"/>
  <c r="V296" i="8"/>
  <c r="V297" i="8"/>
  <c r="V298" i="8"/>
  <c r="V299" i="8"/>
  <c r="V300" i="8"/>
  <c r="V301" i="8"/>
  <c r="V302" i="8"/>
  <c r="V303" i="8"/>
  <c r="V304" i="8"/>
  <c r="V305" i="8"/>
  <c r="V306" i="8"/>
  <c r="V307" i="8"/>
  <c r="V308" i="8"/>
  <c r="V309" i="8"/>
  <c r="V310" i="8"/>
  <c r="V311" i="8"/>
  <c r="V312" i="8"/>
  <c r="V313" i="8"/>
  <c r="V314" i="8"/>
  <c r="V315" i="8"/>
  <c r="V316" i="8"/>
  <c r="V317" i="8"/>
  <c r="V318" i="8"/>
  <c r="V319" i="8"/>
  <c r="V320" i="8"/>
  <c r="V321" i="8"/>
  <c r="V322" i="8"/>
  <c r="V323" i="8"/>
  <c r="V324" i="8"/>
  <c r="V325" i="8"/>
  <c r="V326" i="8"/>
  <c r="V327" i="8"/>
  <c r="V328" i="8"/>
  <c r="V329" i="8"/>
  <c r="V330" i="8"/>
  <c r="V331" i="8"/>
  <c r="V332" i="8"/>
  <c r="V333" i="8"/>
  <c r="V334" i="8"/>
  <c r="V335" i="8"/>
  <c r="V336" i="8"/>
  <c r="V337" i="8"/>
  <c r="V338" i="8"/>
  <c r="V339" i="8"/>
  <c r="V340" i="8"/>
  <c r="V341" i="8"/>
  <c r="V342" i="8"/>
  <c r="V343" i="8"/>
  <c r="V344" i="8"/>
  <c r="V345" i="8"/>
  <c r="V346" i="8"/>
  <c r="V347" i="8"/>
  <c r="V348" i="8"/>
  <c r="V349" i="8"/>
  <c r="V350" i="8"/>
  <c r="V351" i="8"/>
  <c r="V352" i="8"/>
  <c r="V353" i="8"/>
  <c r="V354" i="8"/>
  <c r="V355" i="8"/>
  <c r="V356" i="8"/>
  <c r="V357" i="8"/>
  <c r="V358" i="8"/>
  <c r="V359" i="8"/>
  <c r="V360" i="8"/>
  <c r="V361" i="8"/>
  <c r="V362" i="8"/>
  <c r="V363" i="8"/>
  <c r="V364" i="8"/>
  <c r="V365" i="8"/>
  <c r="V366" i="8"/>
  <c r="V367" i="8"/>
  <c r="V368" i="8"/>
  <c r="V369" i="8"/>
  <c r="V370" i="8"/>
  <c r="V371" i="8"/>
  <c r="V372" i="8"/>
  <c r="V373" i="8"/>
  <c r="V374" i="8"/>
  <c r="V375" i="8"/>
  <c r="V376" i="8"/>
  <c r="V377" i="8"/>
  <c r="V378" i="8"/>
  <c r="V379" i="8"/>
  <c r="V380" i="8"/>
  <c r="V381" i="8"/>
  <c r="V382" i="8"/>
  <c r="U2"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266" i="8"/>
  <c r="U267" i="8"/>
  <c r="U268" i="8"/>
  <c r="U269" i="8"/>
  <c r="U270" i="8"/>
  <c r="U271" i="8"/>
  <c r="U272" i="8"/>
  <c r="U273" i="8"/>
  <c r="U274" i="8"/>
  <c r="U275" i="8"/>
  <c r="U276" i="8"/>
  <c r="U277" i="8"/>
  <c r="U278" i="8"/>
  <c r="U279" i="8"/>
  <c r="U280" i="8"/>
  <c r="U281" i="8"/>
  <c r="U282" i="8"/>
  <c r="U283" i="8"/>
  <c r="U284" i="8"/>
  <c r="U285" i="8"/>
  <c r="U286" i="8"/>
  <c r="U287" i="8"/>
  <c r="U288" i="8"/>
  <c r="U289" i="8"/>
  <c r="U290" i="8"/>
  <c r="U291" i="8"/>
  <c r="U292" i="8"/>
  <c r="U293" i="8"/>
  <c r="U294" i="8"/>
  <c r="U295" i="8"/>
  <c r="U296" i="8"/>
  <c r="U297" i="8"/>
  <c r="U298" i="8"/>
  <c r="U299" i="8"/>
  <c r="U300" i="8"/>
  <c r="U301" i="8"/>
  <c r="U302" i="8"/>
  <c r="U303" i="8"/>
  <c r="U304" i="8"/>
  <c r="U305" i="8"/>
  <c r="U306" i="8"/>
  <c r="U307" i="8"/>
  <c r="U308" i="8"/>
  <c r="U309" i="8"/>
  <c r="U310" i="8"/>
  <c r="U311" i="8"/>
  <c r="U312" i="8"/>
  <c r="U313" i="8"/>
  <c r="U314" i="8"/>
  <c r="U315" i="8"/>
  <c r="U316" i="8"/>
  <c r="U317" i="8"/>
  <c r="U318" i="8"/>
  <c r="U319" i="8"/>
  <c r="U320" i="8"/>
  <c r="U321" i="8"/>
  <c r="U322" i="8"/>
  <c r="U323" i="8"/>
  <c r="U324" i="8"/>
  <c r="U325" i="8"/>
  <c r="U326" i="8"/>
  <c r="U327" i="8"/>
  <c r="U328" i="8"/>
  <c r="U329" i="8"/>
  <c r="U330" i="8"/>
  <c r="U331" i="8"/>
  <c r="U332" i="8"/>
  <c r="U333" i="8"/>
  <c r="U334" i="8"/>
  <c r="U335" i="8"/>
  <c r="U336" i="8"/>
  <c r="U337" i="8"/>
  <c r="U338" i="8"/>
  <c r="U339" i="8"/>
  <c r="U340" i="8"/>
  <c r="U341" i="8"/>
  <c r="U342" i="8"/>
  <c r="U343" i="8"/>
  <c r="U344" i="8"/>
  <c r="U345" i="8"/>
  <c r="U346" i="8"/>
  <c r="U347" i="8"/>
  <c r="U348" i="8"/>
  <c r="U349" i="8"/>
  <c r="U350" i="8"/>
  <c r="U351" i="8"/>
  <c r="U352" i="8"/>
  <c r="U353" i="8"/>
  <c r="U354" i="8"/>
  <c r="U355" i="8"/>
  <c r="U356" i="8"/>
  <c r="U357" i="8"/>
  <c r="U358" i="8"/>
  <c r="U359" i="8"/>
  <c r="U360" i="8"/>
  <c r="U361" i="8"/>
  <c r="U362" i="8"/>
  <c r="U363" i="8"/>
  <c r="U364" i="8"/>
  <c r="U365" i="8"/>
  <c r="U366" i="8"/>
  <c r="U367" i="8"/>
  <c r="U368" i="8"/>
  <c r="U369" i="8"/>
  <c r="U370" i="8"/>
  <c r="U371" i="8"/>
  <c r="U372" i="8"/>
  <c r="U373" i="8"/>
  <c r="U374" i="8"/>
  <c r="U375" i="8"/>
  <c r="U376" i="8"/>
  <c r="U377" i="8"/>
  <c r="U378" i="8"/>
  <c r="U379" i="8"/>
  <c r="U380" i="8"/>
  <c r="U381" i="8"/>
  <c r="U382" i="8"/>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T82" i="8"/>
  <c r="T83" i="8"/>
  <c r="T84" i="8"/>
  <c r="T85" i="8"/>
  <c r="T86" i="8"/>
  <c r="T87" i="8"/>
  <c r="T88" i="8"/>
  <c r="T89" i="8"/>
  <c r="T90" i="8"/>
  <c r="T91" i="8"/>
  <c r="T92" i="8"/>
  <c r="T93" i="8"/>
  <c r="T94" i="8"/>
  <c r="T95" i="8"/>
  <c r="T96" i="8"/>
  <c r="T97" i="8"/>
  <c r="T98" i="8"/>
  <c r="T99" i="8"/>
  <c r="T100" i="8"/>
  <c r="T101" i="8"/>
  <c r="T102" i="8"/>
  <c r="T103" i="8"/>
  <c r="T104" i="8"/>
  <c r="T105" i="8"/>
  <c r="T106" i="8"/>
  <c r="T107" i="8"/>
  <c r="T108" i="8"/>
  <c r="T109" i="8"/>
  <c r="T110" i="8"/>
  <c r="T111" i="8"/>
  <c r="T112" i="8"/>
  <c r="T113" i="8"/>
  <c r="T114" i="8"/>
  <c r="T115" i="8"/>
  <c r="T116" i="8"/>
  <c r="T117" i="8"/>
  <c r="T118" i="8"/>
  <c r="T119" i="8"/>
  <c r="T120" i="8"/>
  <c r="T121" i="8"/>
  <c r="T122" i="8"/>
  <c r="T123" i="8"/>
  <c r="T124" i="8"/>
  <c r="T125" i="8"/>
  <c r="T126" i="8"/>
  <c r="T127" i="8"/>
  <c r="T128" i="8"/>
  <c r="T129" i="8"/>
  <c r="T130" i="8"/>
  <c r="T131" i="8"/>
  <c r="T132" i="8"/>
  <c r="T133" i="8"/>
  <c r="T134" i="8"/>
  <c r="T135" i="8"/>
  <c r="T136" i="8"/>
  <c r="T137" i="8"/>
  <c r="T138" i="8"/>
  <c r="T139" i="8"/>
  <c r="T140" i="8"/>
  <c r="T141" i="8"/>
  <c r="T142" i="8"/>
  <c r="T143" i="8"/>
  <c r="T144" i="8"/>
  <c r="T145" i="8"/>
  <c r="T146" i="8"/>
  <c r="T147" i="8"/>
  <c r="T148" i="8"/>
  <c r="T149" i="8"/>
  <c r="T150" i="8"/>
  <c r="T151" i="8"/>
  <c r="T152" i="8"/>
  <c r="T153" i="8"/>
  <c r="T154" i="8"/>
  <c r="T155" i="8"/>
  <c r="T156" i="8"/>
  <c r="T157" i="8"/>
  <c r="T158" i="8"/>
  <c r="T159" i="8"/>
  <c r="T160" i="8"/>
  <c r="T161" i="8"/>
  <c r="T162" i="8"/>
  <c r="T163" i="8"/>
  <c r="T164" i="8"/>
  <c r="T165" i="8"/>
  <c r="T166" i="8"/>
  <c r="T167" i="8"/>
  <c r="T168" i="8"/>
  <c r="T169" i="8"/>
  <c r="T170" i="8"/>
  <c r="T171" i="8"/>
  <c r="T172" i="8"/>
  <c r="T173" i="8"/>
  <c r="T174" i="8"/>
  <c r="T175" i="8"/>
  <c r="T176" i="8"/>
  <c r="T177" i="8"/>
  <c r="T178" i="8"/>
  <c r="T179" i="8"/>
  <c r="T180" i="8"/>
  <c r="T181" i="8"/>
  <c r="T182" i="8"/>
  <c r="T183" i="8"/>
  <c r="T184" i="8"/>
  <c r="T185" i="8"/>
  <c r="T186" i="8"/>
  <c r="T187" i="8"/>
  <c r="T188" i="8"/>
  <c r="T189" i="8"/>
  <c r="T190" i="8"/>
  <c r="T191" i="8"/>
  <c r="T192" i="8"/>
  <c r="T193" i="8"/>
  <c r="T194" i="8"/>
  <c r="T195" i="8"/>
  <c r="T196" i="8"/>
  <c r="T197" i="8"/>
  <c r="T198" i="8"/>
  <c r="T199" i="8"/>
  <c r="T200" i="8"/>
  <c r="T201" i="8"/>
  <c r="T202" i="8"/>
  <c r="T203" i="8"/>
  <c r="T204" i="8"/>
  <c r="T205" i="8"/>
  <c r="T206" i="8"/>
  <c r="T207" i="8"/>
  <c r="T208" i="8"/>
  <c r="T209" i="8"/>
  <c r="T210" i="8"/>
  <c r="T211" i="8"/>
  <c r="T212" i="8"/>
  <c r="T213" i="8"/>
  <c r="T214" i="8"/>
  <c r="T215" i="8"/>
  <c r="T216" i="8"/>
  <c r="T217" i="8"/>
  <c r="T218" i="8"/>
  <c r="T219" i="8"/>
  <c r="T220" i="8"/>
  <c r="T221" i="8"/>
  <c r="T222" i="8"/>
  <c r="T223" i="8"/>
  <c r="T224" i="8"/>
  <c r="T225" i="8"/>
  <c r="T226" i="8"/>
  <c r="T227" i="8"/>
  <c r="T228" i="8"/>
  <c r="T229" i="8"/>
  <c r="T230" i="8"/>
  <c r="T231" i="8"/>
  <c r="T232" i="8"/>
  <c r="T233" i="8"/>
  <c r="T234" i="8"/>
  <c r="T235" i="8"/>
  <c r="T236" i="8"/>
  <c r="T237" i="8"/>
  <c r="T238" i="8"/>
  <c r="T239" i="8"/>
  <c r="T240" i="8"/>
  <c r="T241" i="8"/>
  <c r="T242" i="8"/>
  <c r="T243" i="8"/>
  <c r="T244" i="8"/>
  <c r="T245" i="8"/>
  <c r="T246" i="8"/>
  <c r="T247" i="8"/>
  <c r="T248" i="8"/>
  <c r="T249" i="8"/>
  <c r="T250" i="8"/>
  <c r="T251" i="8"/>
  <c r="T252" i="8"/>
  <c r="T253" i="8"/>
  <c r="T254" i="8"/>
  <c r="T255" i="8"/>
  <c r="T256" i="8"/>
  <c r="T257" i="8"/>
  <c r="T258" i="8"/>
  <c r="T259" i="8"/>
  <c r="T260" i="8"/>
  <c r="T261" i="8"/>
  <c r="T262" i="8"/>
  <c r="T263" i="8"/>
  <c r="T264" i="8"/>
  <c r="T265" i="8"/>
  <c r="T266" i="8"/>
  <c r="T267" i="8"/>
  <c r="T268" i="8"/>
  <c r="T269" i="8"/>
  <c r="T270" i="8"/>
  <c r="T271" i="8"/>
  <c r="T272" i="8"/>
  <c r="T273" i="8"/>
  <c r="T274" i="8"/>
  <c r="T275" i="8"/>
  <c r="T276" i="8"/>
  <c r="T277" i="8"/>
  <c r="T278" i="8"/>
  <c r="T279" i="8"/>
  <c r="T280" i="8"/>
  <c r="T281" i="8"/>
  <c r="T282" i="8"/>
  <c r="T283" i="8"/>
  <c r="T284" i="8"/>
  <c r="T285" i="8"/>
  <c r="T286" i="8"/>
  <c r="T287" i="8"/>
  <c r="T288" i="8"/>
  <c r="T289" i="8"/>
  <c r="T290" i="8"/>
  <c r="T291" i="8"/>
  <c r="T292" i="8"/>
  <c r="T293" i="8"/>
  <c r="T294" i="8"/>
  <c r="T295" i="8"/>
  <c r="T296" i="8"/>
  <c r="T297" i="8"/>
  <c r="T298" i="8"/>
  <c r="T299" i="8"/>
  <c r="T300" i="8"/>
  <c r="T301" i="8"/>
  <c r="T302" i="8"/>
  <c r="T303" i="8"/>
  <c r="T304" i="8"/>
  <c r="T305" i="8"/>
  <c r="T306" i="8"/>
  <c r="T307" i="8"/>
  <c r="T308" i="8"/>
  <c r="T309" i="8"/>
  <c r="T310" i="8"/>
  <c r="T311" i="8"/>
  <c r="T312" i="8"/>
  <c r="T313" i="8"/>
  <c r="T314" i="8"/>
  <c r="T315" i="8"/>
  <c r="T316" i="8"/>
  <c r="T317" i="8"/>
  <c r="T318" i="8"/>
  <c r="T319" i="8"/>
  <c r="T320" i="8"/>
  <c r="T321" i="8"/>
  <c r="T322" i="8"/>
  <c r="T323" i="8"/>
  <c r="T324" i="8"/>
  <c r="T325" i="8"/>
  <c r="T326" i="8"/>
  <c r="T327" i="8"/>
  <c r="T328" i="8"/>
  <c r="T329" i="8"/>
  <c r="T330" i="8"/>
  <c r="T331" i="8"/>
  <c r="T332" i="8"/>
  <c r="T333" i="8"/>
  <c r="T334" i="8"/>
  <c r="T335" i="8"/>
  <c r="T336" i="8"/>
  <c r="T337" i="8"/>
  <c r="T338" i="8"/>
  <c r="T339" i="8"/>
  <c r="T340" i="8"/>
  <c r="T341" i="8"/>
  <c r="T342" i="8"/>
  <c r="T343" i="8"/>
  <c r="T344" i="8"/>
  <c r="T345" i="8"/>
  <c r="T346" i="8"/>
  <c r="T347" i="8"/>
  <c r="T348" i="8"/>
  <c r="T349" i="8"/>
  <c r="T350" i="8"/>
  <c r="T351" i="8"/>
  <c r="T352" i="8"/>
  <c r="T353" i="8"/>
  <c r="T354" i="8"/>
  <c r="T355" i="8"/>
  <c r="T356" i="8"/>
  <c r="T357" i="8"/>
  <c r="T358" i="8"/>
  <c r="T359" i="8"/>
  <c r="T360" i="8"/>
  <c r="T361" i="8"/>
  <c r="T362" i="8"/>
  <c r="T363" i="8"/>
  <c r="T364" i="8"/>
  <c r="T365" i="8"/>
  <c r="T366" i="8"/>
  <c r="T367" i="8"/>
  <c r="T368" i="8"/>
  <c r="T369" i="8"/>
  <c r="T370" i="8"/>
  <c r="T371" i="8"/>
  <c r="T372" i="8"/>
  <c r="T373" i="8"/>
  <c r="T374" i="8"/>
  <c r="T375" i="8"/>
  <c r="T376" i="8"/>
  <c r="T377" i="8"/>
  <c r="T378" i="8"/>
  <c r="T379" i="8"/>
  <c r="T380" i="8"/>
  <c r="T381" i="8"/>
  <c r="T382"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82" i="8"/>
  <c r="S83" i="8"/>
  <c r="S84" i="8"/>
  <c r="S85" i="8"/>
  <c r="S86" i="8"/>
  <c r="S87" i="8"/>
  <c r="S88" i="8"/>
  <c r="S89" i="8"/>
  <c r="S90" i="8"/>
  <c r="S91" i="8"/>
  <c r="S92" i="8"/>
  <c r="S93" i="8"/>
  <c r="S94" i="8"/>
  <c r="S95" i="8"/>
  <c r="S96" i="8"/>
  <c r="S97" i="8"/>
  <c r="S98" i="8"/>
  <c r="S99" i="8"/>
  <c r="S100" i="8"/>
  <c r="S101" i="8"/>
  <c r="S102" i="8"/>
  <c r="S103" i="8"/>
  <c r="S104" i="8"/>
  <c r="S105" i="8"/>
  <c r="S106" i="8"/>
  <c r="S107" i="8"/>
  <c r="S108" i="8"/>
  <c r="S109" i="8"/>
  <c r="S110" i="8"/>
  <c r="S111" i="8"/>
  <c r="S112" i="8"/>
  <c r="S113" i="8"/>
  <c r="S114" i="8"/>
  <c r="S115" i="8"/>
  <c r="S116" i="8"/>
  <c r="S117" i="8"/>
  <c r="S118" i="8"/>
  <c r="S119" i="8"/>
  <c r="S120" i="8"/>
  <c r="S121" i="8"/>
  <c r="S122" i="8"/>
  <c r="S123" i="8"/>
  <c r="S124" i="8"/>
  <c r="S125" i="8"/>
  <c r="S126" i="8"/>
  <c r="S127" i="8"/>
  <c r="S128" i="8"/>
  <c r="S129" i="8"/>
  <c r="S130" i="8"/>
  <c r="S131" i="8"/>
  <c r="S132" i="8"/>
  <c r="S133" i="8"/>
  <c r="S134" i="8"/>
  <c r="S135" i="8"/>
  <c r="S136" i="8"/>
  <c r="S137" i="8"/>
  <c r="S138" i="8"/>
  <c r="S139" i="8"/>
  <c r="S140" i="8"/>
  <c r="S141" i="8"/>
  <c r="S142" i="8"/>
  <c r="S143" i="8"/>
  <c r="S144" i="8"/>
  <c r="S145" i="8"/>
  <c r="S146" i="8"/>
  <c r="S147" i="8"/>
  <c r="S148" i="8"/>
  <c r="S149" i="8"/>
  <c r="S150" i="8"/>
  <c r="S151" i="8"/>
  <c r="S152" i="8"/>
  <c r="S153" i="8"/>
  <c r="S154" i="8"/>
  <c r="S155" i="8"/>
  <c r="S156" i="8"/>
  <c r="S157" i="8"/>
  <c r="S158" i="8"/>
  <c r="S159" i="8"/>
  <c r="S160" i="8"/>
  <c r="S161" i="8"/>
  <c r="S162" i="8"/>
  <c r="S163" i="8"/>
  <c r="S164" i="8"/>
  <c r="S165" i="8"/>
  <c r="S166" i="8"/>
  <c r="S167" i="8"/>
  <c r="S168" i="8"/>
  <c r="S169" i="8"/>
  <c r="S170" i="8"/>
  <c r="S171" i="8"/>
  <c r="S172" i="8"/>
  <c r="S173" i="8"/>
  <c r="S174" i="8"/>
  <c r="S175" i="8"/>
  <c r="S176" i="8"/>
  <c r="S177" i="8"/>
  <c r="S178" i="8"/>
  <c r="S179" i="8"/>
  <c r="S180" i="8"/>
  <c r="S181" i="8"/>
  <c r="S182" i="8"/>
  <c r="S183" i="8"/>
  <c r="S184" i="8"/>
  <c r="S185" i="8"/>
  <c r="S186" i="8"/>
  <c r="S187" i="8"/>
  <c r="S188" i="8"/>
  <c r="S189" i="8"/>
  <c r="S190" i="8"/>
  <c r="S191" i="8"/>
  <c r="S192" i="8"/>
  <c r="S193" i="8"/>
  <c r="S194" i="8"/>
  <c r="S195" i="8"/>
  <c r="S196" i="8"/>
  <c r="S197" i="8"/>
  <c r="S198" i="8"/>
  <c r="S199" i="8"/>
  <c r="S200" i="8"/>
  <c r="S201" i="8"/>
  <c r="S202" i="8"/>
  <c r="S203" i="8"/>
  <c r="S204" i="8"/>
  <c r="S205" i="8"/>
  <c r="S206" i="8"/>
  <c r="S207" i="8"/>
  <c r="S208" i="8"/>
  <c r="S209" i="8"/>
  <c r="S210" i="8"/>
  <c r="S211" i="8"/>
  <c r="S212" i="8"/>
  <c r="S213" i="8"/>
  <c r="S214" i="8"/>
  <c r="S215" i="8"/>
  <c r="S216" i="8"/>
  <c r="S217" i="8"/>
  <c r="S218" i="8"/>
  <c r="S219" i="8"/>
  <c r="S220" i="8"/>
  <c r="S221" i="8"/>
  <c r="S222" i="8"/>
  <c r="S223" i="8"/>
  <c r="S224" i="8"/>
  <c r="S225" i="8"/>
  <c r="S226" i="8"/>
  <c r="S227" i="8"/>
  <c r="S228" i="8"/>
  <c r="S229" i="8"/>
  <c r="S230" i="8"/>
  <c r="S231" i="8"/>
  <c r="S232" i="8"/>
  <c r="S233" i="8"/>
  <c r="S234" i="8"/>
  <c r="S235" i="8"/>
  <c r="S236" i="8"/>
  <c r="S237" i="8"/>
  <c r="S238" i="8"/>
  <c r="S239" i="8"/>
  <c r="S240" i="8"/>
  <c r="S241" i="8"/>
  <c r="S242" i="8"/>
  <c r="S243" i="8"/>
  <c r="S244" i="8"/>
  <c r="S245" i="8"/>
  <c r="S246" i="8"/>
  <c r="S247" i="8"/>
  <c r="S248" i="8"/>
  <c r="S249" i="8"/>
  <c r="S250" i="8"/>
  <c r="S251" i="8"/>
  <c r="S252" i="8"/>
  <c r="S253" i="8"/>
  <c r="S254" i="8"/>
  <c r="S255" i="8"/>
  <c r="S256" i="8"/>
  <c r="S257" i="8"/>
  <c r="S258" i="8"/>
  <c r="S259" i="8"/>
  <c r="S260" i="8"/>
  <c r="S261" i="8"/>
  <c r="S262" i="8"/>
  <c r="S263" i="8"/>
  <c r="S264" i="8"/>
  <c r="S265" i="8"/>
  <c r="S266" i="8"/>
  <c r="S267" i="8"/>
  <c r="S268" i="8"/>
  <c r="S269" i="8"/>
  <c r="S270" i="8"/>
  <c r="S271" i="8"/>
  <c r="S272" i="8"/>
  <c r="S273" i="8"/>
  <c r="S274" i="8"/>
  <c r="S275" i="8"/>
  <c r="S276" i="8"/>
  <c r="S277" i="8"/>
  <c r="S278" i="8"/>
  <c r="S279" i="8"/>
  <c r="S280" i="8"/>
  <c r="S281" i="8"/>
  <c r="S282" i="8"/>
  <c r="S283" i="8"/>
  <c r="S284" i="8"/>
  <c r="S285" i="8"/>
  <c r="S286" i="8"/>
  <c r="S287" i="8"/>
  <c r="S288" i="8"/>
  <c r="S289" i="8"/>
  <c r="S290" i="8"/>
  <c r="S291" i="8"/>
  <c r="S292" i="8"/>
  <c r="S293" i="8"/>
  <c r="S294" i="8"/>
  <c r="S295" i="8"/>
  <c r="S296" i="8"/>
  <c r="S297" i="8"/>
  <c r="S298" i="8"/>
  <c r="S299" i="8"/>
  <c r="S300" i="8"/>
  <c r="S301" i="8"/>
  <c r="S302" i="8"/>
  <c r="S303" i="8"/>
  <c r="S304" i="8"/>
  <c r="S305" i="8"/>
  <c r="S306" i="8"/>
  <c r="S307" i="8"/>
  <c r="S308" i="8"/>
  <c r="S309" i="8"/>
  <c r="S310" i="8"/>
  <c r="S311" i="8"/>
  <c r="S312" i="8"/>
  <c r="S313" i="8"/>
  <c r="S314" i="8"/>
  <c r="S315" i="8"/>
  <c r="S316" i="8"/>
  <c r="S317" i="8"/>
  <c r="S318" i="8"/>
  <c r="S319" i="8"/>
  <c r="S320" i="8"/>
  <c r="S321" i="8"/>
  <c r="S322" i="8"/>
  <c r="S323" i="8"/>
  <c r="S324" i="8"/>
  <c r="S325" i="8"/>
  <c r="S326" i="8"/>
  <c r="S327" i="8"/>
  <c r="S328" i="8"/>
  <c r="S329" i="8"/>
  <c r="S330" i="8"/>
  <c r="S331" i="8"/>
  <c r="S332" i="8"/>
  <c r="S333" i="8"/>
  <c r="S334" i="8"/>
  <c r="S335" i="8"/>
  <c r="S336" i="8"/>
  <c r="S337" i="8"/>
  <c r="S338" i="8"/>
  <c r="S339" i="8"/>
  <c r="S340" i="8"/>
  <c r="S341" i="8"/>
  <c r="S342" i="8"/>
  <c r="S343" i="8"/>
  <c r="S344" i="8"/>
  <c r="S345" i="8"/>
  <c r="S346" i="8"/>
  <c r="S347" i="8"/>
  <c r="S348" i="8"/>
  <c r="S349" i="8"/>
  <c r="S350" i="8"/>
  <c r="S351" i="8"/>
  <c r="S352" i="8"/>
  <c r="S353" i="8"/>
  <c r="S354" i="8"/>
  <c r="S355" i="8"/>
  <c r="S356" i="8"/>
  <c r="S357" i="8"/>
  <c r="S358" i="8"/>
  <c r="S359" i="8"/>
  <c r="S360" i="8"/>
  <c r="S361" i="8"/>
  <c r="S362" i="8"/>
  <c r="S363" i="8"/>
  <c r="S364" i="8"/>
  <c r="S365" i="8"/>
  <c r="S366" i="8"/>
  <c r="S367" i="8"/>
  <c r="S368" i="8"/>
  <c r="S369" i="8"/>
  <c r="S370" i="8"/>
  <c r="S371" i="8"/>
  <c r="S372" i="8"/>
  <c r="S373" i="8"/>
  <c r="S374" i="8"/>
  <c r="S375" i="8"/>
  <c r="S376" i="8"/>
  <c r="S377" i="8"/>
  <c r="S378" i="8"/>
  <c r="S379" i="8"/>
  <c r="S380" i="8"/>
  <c r="S381" i="8"/>
  <c r="S382"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92" i="8"/>
  <c r="R93" i="8"/>
  <c r="R94" i="8"/>
  <c r="R95" i="8"/>
  <c r="R96" i="8"/>
  <c r="R97" i="8"/>
  <c r="R98" i="8"/>
  <c r="R99" i="8"/>
  <c r="R100" i="8"/>
  <c r="R101" i="8"/>
  <c r="R102" i="8"/>
  <c r="R103" i="8"/>
  <c r="R104" i="8"/>
  <c r="R105" i="8"/>
  <c r="R106" i="8"/>
  <c r="R107" i="8"/>
  <c r="R108" i="8"/>
  <c r="R109" i="8"/>
  <c r="R110" i="8"/>
  <c r="R111" i="8"/>
  <c r="R112" i="8"/>
  <c r="R113" i="8"/>
  <c r="R114" i="8"/>
  <c r="R115" i="8"/>
  <c r="R116" i="8"/>
  <c r="R117" i="8"/>
  <c r="R118" i="8"/>
  <c r="R119" i="8"/>
  <c r="R120" i="8"/>
  <c r="R121" i="8"/>
  <c r="R122" i="8"/>
  <c r="R123" i="8"/>
  <c r="R124" i="8"/>
  <c r="R125" i="8"/>
  <c r="R126" i="8"/>
  <c r="R127" i="8"/>
  <c r="R128" i="8"/>
  <c r="R129" i="8"/>
  <c r="R130" i="8"/>
  <c r="R131" i="8"/>
  <c r="R132" i="8"/>
  <c r="R133" i="8"/>
  <c r="R134" i="8"/>
  <c r="R135" i="8"/>
  <c r="R136" i="8"/>
  <c r="R137" i="8"/>
  <c r="R138" i="8"/>
  <c r="R139" i="8"/>
  <c r="R140" i="8"/>
  <c r="R141" i="8"/>
  <c r="R142" i="8"/>
  <c r="R143" i="8"/>
  <c r="R144" i="8"/>
  <c r="R145" i="8"/>
  <c r="R146" i="8"/>
  <c r="R147" i="8"/>
  <c r="R148" i="8"/>
  <c r="R149" i="8"/>
  <c r="R150" i="8"/>
  <c r="R151" i="8"/>
  <c r="R152" i="8"/>
  <c r="R153" i="8"/>
  <c r="R154" i="8"/>
  <c r="R155" i="8"/>
  <c r="R156" i="8"/>
  <c r="R157" i="8"/>
  <c r="R158" i="8"/>
  <c r="R159" i="8"/>
  <c r="R160" i="8"/>
  <c r="R161" i="8"/>
  <c r="R162" i="8"/>
  <c r="R163" i="8"/>
  <c r="R164" i="8"/>
  <c r="R165" i="8"/>
  <c r="R166" i="8"/>
  <c r="R167" i="8"/>
  <c r="R168" i="8"/>
  <c r="R169" i="8"/>
  <c r="R170" i="8"/>
  <c r="R171" i="8"/>
  <c r="R172" i="8"/>
  <c r="R173" i="8"/>
  <c r="R174" i="8"/>
  <c r="R175" i="8"/>
  <c r="R176" i="8"/>
  <c r="R177" i="8"/>
  <c r="R178" i="8"/>
  <c r="R179" i="8"/>
  <c r="R180" i="8"/>
  <c r="R181" i="8"/>
  <c r="R182" i="8"/>
  <c r="R183" i="8"/>
  <c r="R184" i="8"/>
  <c r="R185" i="8"/>
  <c r="R186" i="8"/>
  <c r="R187" i="8"/>
  <c r="R188" i="8"/>
  <c r="R189" i="8"/>
  <c r="R190" i="8"/>
  <c r="R191" i="8"/>
  <c r="R192" i="8"/>
  <c r="R193" i="8"/>
  <c r="R194" i="8"/>
  <c r="R195" i="8"/>
  <c r="R196" i="8"/>
  <c r="R197" i="8"/>
  <c r="R198" i="8"/>
  <c r="R199" i="8"/>
  <c r="R200" i="8"/>
  <c r="R201" i="8"/>
  <c r="R202" i="8"/>
  <c r="R203" i="8"/>
  <c r="R204" i="8"/>
  <c r="R205" i="8"/>
  <c r="R206" i="8"/>
  <c r="R207" i="8"/>
  <c r="R208" i="8"/>
  <c r="R209" i="8"/>
  <c r="R210" i="8"/>
  <c r="R211" i="8"/>
  <c r="R212" i="8"/>
  <c r="R213" i="8"/>
  <c r="R214" i="8"/>
  <c r="R215" i="8"/>
  <c r="R216" i="8"/>
  <c r="R217" i="8"/>
  <c r="R218" i="8"/>
  <c r="R219" i="8"/>
  <c r="R220" i="8"/>
  <c r="R221" i="8"/>
  <c r="R222" i="8"/>
  <c r="R223" i="8"/>
  <c r="R224" i="8"/>
  <c r="R225" i="8"/>
  <c r="R226" i="8"/>
  <c r="R227" i="8"/>
  <c r="R228" i="8"/>
  <c r="R229" i="8"/>
  <c r="R230" i="8"/>
  <c r="R231" i="8"/>
  <c r="R232" i="8"/>
  <c r="R233" i="8"/>
  <c r="R234" i="8"/>
  <c r="R235" i="8"/>
  <c r="R236" i="8"/>
  <c r="R237" i="8"/>
  <c r="R238" i="8"/>
  <c r="R239" i="8"/>
  <c r="R240" i="8"/>
  <c r="R241" i="8"/>
  <c r="R242" i="8"/>
  <c r="R243" i="8"/>
  <c r="R244" i="8"/>
  <c r="R245" i="8"/>
  <c r="R246" i="8"/>
  <c r="R247" i="8"/>
  <c r="R248" i="8"/>
  <c r="R249" i="8"/>
  <c r="R250" i="8"/>
  <c r="R251" i="8"/>
  <c r="R252" i="8"/>
  <c r="R253" i="8"/>
  <c r="R254" i="8"/>
  <c r="R255" i="8"/>
  <c r="R256" i="8"/>
  <c r="R257" i="8"/>
  <c r="R258" i="8"/>
  <c r="R259" i="8"/>
  <c r="R260" i="8"/>
  <c r="R261" i="8"/>
  <c r="R262" i="8"/>
  <c r="R263" i="8"/>
  <c r="R264" i="8"/>
  <c r="R265" i="8"/>
  <c r="R266" i="8"/>
  <c r="R267" i="8"/>
  <c r="R268" i="8"/>
  <c r="R269" i="8"/>
  <c r="R270" i="8"/>
  <c r="R271" i="8"/>
  <c r="R272" i="8"/>
  <c r="R273" i="8"/>
  <c r="R274" i="8"/>
  <c r="R275" i="8"/>
  <c r="R276" i="8"/>
  <c r="R277" i="8"/>
  <c r="R278" i="8"/>
  <c r="R279" i="8"/>
  <c r="R280" i="8"/>
  <c r="R281" i="8"/>
  <c r="R282" i="8"/>
  <c r="R283" i="8"/>
  <c r="R284" i="8"/>
  <c r="R285" i="8"/>
  <c r="R286" i="8"/>
  <c r="R287" i="8"/>
  <c r="R288" i="8"/>
  <c r="R289" i="8"/>
  <c r="R290" i="8"/>
  <c r="R291" i="8"/>
  <c r="R292" i="8"/>
  <c r="R293" i="8"/>
  <c r="R294" i="8"/>
  <c r="R295" i="8"/>
  <c r="R296" i="8"/>
  <c r="R297" i="8"/>
  <c r="R298" i="8"/>
  <c r="R299" i="8"/>
  <c r="R300" i="8"/>
  <c r="R301" i="8"/>
  <c r="R302" i="8"/>
  <c r="R303" i="8"/>
  <c r="R304" i="8"/>
  <c r="R305" i="8"/>
  <c r="R306" i="8"/>
  <c r="R307" i="8"/>
  <c r="R308" i="8"/>
  <c r="R309" i="8"/>
  <c r="R310" i="8"/>
  <c r="R311" i="8"/>
  <c r="R312" i="8"/>
  <c r="R313" i="8"/>
  <c r="R314" i="8"/>
  <c r="R315" i="8"/>
  <c r="R316" i="8"/>
  <c r="R317" i="8"/>
  <c r="R318" i="8"/>
  <c r="R319" i="8"/>
  <c r="R320" i="8"/>
  <c r="R321" i="8"/>
  <c r="R322" i="8"/>
  <c r="R323" i="8"/>
  <c r="R324" i="8"/>
  <c r="R325" i="8"/>
  <c r="R326" i="8"/>
  <c r="R327" i="8"/>
  <c r="R328" i="8"/>
  <c r="R329" i="8"/>
  <c r="R330" i="8"/>
  <c r="R331" i="8"/>
  <c r="R332" i="8"/>
  <c r="R333" i="8"/>
  <c r="R334" i="8"/>
  <c r="R335" i="8"/>
  <c r="R336" i="8"/>
  <c r="R337" i="8"/>
  <c r="R338" i="8"/>
  <c r="R339" i="8"/>
  <c r="R340" i="8"/>
  <c r="R341" i="8"/>
  <c r="R342" i="8"/>
  <c r="R343" i="8"/>
  <c r="R344" i="8"/>
  <c r="R345" i="8"/>
  <c r="R346" i="8"/>
  <c r="R347" i="8"/>
  <c r="R348" i="8"/>
  <c r="R349" i="8"/>
  <c r="R350" i="8"/>
  <c r="R351" i="8"/>
  <c r="R352" i="8"/>
  <c r="R353" i="8"/>
  <c r="R354" i="8"/>
  <c r="R355" i="8"/>
  <c r="R356" i="8"/>
  <c r="R357" i="8"/>
  <c r="R358" i="8"/>
  <c r="R359" i="8"/>
  <c r="R360" i="8"/>
  <c r="R361" i="8"/>
  <c r="R362" i="8"/>
  <c r="R363" i="8"/>
  <c r="R364" i="8"/>
  <c r="R365" i="8"/>
  <c r="R366" i="8"/>
  <c r="R367" i="8"/>
  <c r="R368" i="8"/>
  <c r="R369" i="8"/>
  <c r="R370" i="8"/>
  <c r="R371" i="8"/>
  <c r="R372" i="8"/>
  <c r="R373" i="8"/>
  <c r="R374" i="8"/>
  <c r="R375" i="8"/>
  <c r="R376" i="8"/>
  <c r="R377" i="8"/>
  <c r="R378" i="8"/>
  <c r="R379" i="8"/>
  <c r="R380" i="8"/>
  <c r="R381" i="8"/>
  <c r="R382" i="8"/>
  <c r="B22" i="3" l="1"/>
  <c r="C22" i="3" s="1"/>
  <c r="X34" i="8"/>
  <c r="B9" i="3"/>
  <c r="C9" i="3" s="1"/>
  <c r="B17" i="3"/>
  <c r="C17" i="3" s="1"/>
  <c r="B16" i="3"/>
  <c r="C16" i="3" s="1"/>
  <c r="B15" i="3"/>
  <c r="C15" i="3" s="1"/>
  <c r="B14" i="3"/>
  <c r="C14" i="3" s="1"/>
  <c r="B13" i="3"/>
  <c r="C13" i="3" s="1"/>
  <c r="B12" i="3"/>
  <c r="C12" i="3" s="1"/>
  <c r="B11" i="3"/>
  <c r="C11" i="3" s="1"/>
  <c r="B10" i="3"/>
  <c r="C10" i="3" s="1"/>
  <c r="B8" i="3"/>
  <c r="C8" i="3" s="1"/>
  <c r="B7" i="3"/>
  <c r="C7" i="3" s="1"/>
  <c r="B6" i="3"/>
  <c r="C6" i="3" s="1"/>
  <c r="B5" i="3"/>
  <c r="C5" i="3" s="1"/>
  <c r="B4" i="3"/>
  <c r="C4" i="3" s="1"/>
  <c r="B3" i="3"/>
  <c r="C3" i="3" s="1"/>
</calcChain>
</file>

<file path=xl/connections.xml><?xml version="1.0" encoding="utf-8"?>
<connections xmlns="http://schemas.openxmlformats.org/spreadsheetml/2006/main">
  <connection id="1" keepAlive="1" name="Query - Errors in raw-data" description="Connection to the 'Errors in raw-data' query in the workbook." type="5" refreshedVersion="0" background="1">
    <dbPr connection="Provider=Microsoft.Mashup.OleDb.1;Data Source=$Workbook$;Location=&quot;Errors in raw-data&quot;;Extended Properties=&quot;&quot;" command="SELECT * FROM [Errors in raw-data]"/>
  </connection>
  <connection id="2" keepAlive="1" name="Query - Errors in raw-data (2)" description="Connection to the 'Errors in raw-data (2)' query in the workbook." type="5" refreshedVersion="0" background="1">
    <dbPr connection="Provider=Microsoft.Mashup.OleDb.1;Data Source=$Workbook$;Location=&quot;Errors in raw-data (2)&quot;;Extended Properties=&quot;&quot;" command="SELECT * FROM [Errors in raw-data (2)]"/>
  </connection>
  <connection id="3" keepAlive="1" name="Query - raw-data" description="Connection to the 'raw-data' query in the workbook." type="5" refreshedVersion="6" background="1" saveData="1">
    <dbPr connection="Provider=Microsoft.Mashup.OleDb.1;Data Source=$Workbook$;Location=raw-data;Extended Properties=&quot;&quot;" command="SELECT * FROM [raw-data]"/>
  </connection>
  <connection id="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5"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6" keepAlive="1" name="Query - Transform File from raw-data" description="Connection to the 'Transform File from raw-data' query in the workbook." type="5" refreshedVersion="0" background="1">
    <dbPr connection="Provider=Microsoft.Mashup.OleDb.1;Data Source=$Workbook$;Location=&quot;Transform File from raw-data&quot;;Extended Properties=&quot;&quot;" command="SELECT * FROM [Transform File from raw-data]"/>
  </connection>
  <connection id="7" keepAlive="1" name="Query - Transform_Daily_Workbook" description="Connection to the 'Transform_Daily_Workbook' query in the workbook." type="5" refreshedVersion="0" background="1">
    <dbPr connection="Provider=Microsoft.Mashup.OleDb.1;Data Source=$Workbook$;Location=Transform_Daily_Workbook;Extended Properties=&quot;&quot;" command="SELECT * FROM [Transform_Daily_Workbook]"/>
  </connection>
</connections>
</file>

<file path=xl/sharedStrings.xml><?xml version="1.0" encoding="utf-8"?>
<sst xmlns="http://schemas.openxmlformats.org/spreadsheetml/2006/main" count="1870" uniqueCount="607">
  <si>
    <t>Name</t>
  </si>
  <si>
    <t>Extension</t>
  </si>
  <si>
    <t>Date accessed</t>
  </si>
  <si>
    <t>Date modified</t>
  </si>
  <si>
    <t>Date created</t>
  </si>
  <si>
    <t>Folder Path</t>
  </si>
  <si>
    <t>ExtractedData</t>
  </si>
  <si>
    <t>Date</t>
  </si>
  <si>
    <t>Fries_Cost</t>
  </si>
  <si>
    <t>Fries_Sales</t>
  </si>
  <si>
    <t>Fries_Profit</t>
  </si>
  <si>
    <t>Zinger_Cost</t>
  </si>
  <si>
    <t>Zinger_Sales</t>
  </si>
  <si>
    <t>Zinger_Profit</t>
  </si>
  <si>
    <t>Loaded_Food_Cost</t>
  </si>
  <si>
    <t>Loaded_Food_Sales</t>
  </si>
  <si>
    <t>Loaded_Food_Profit</t>
  </si>
  <si>
    <t>Drinks_Cost</t>
  </si>
  <si>
    <t>Drinks_Sales</t>
  </si>
  <si>
    <t>Drinks_Profit</t>
  </si>
  <si>
    <t>Daily_Operational_Cost</t>
  </si>
  <si>
    <t>Total_Daily_Sales</t>
  </si>
  <si>
    <t>Net_Profit</t>
  </si>
  <si>
    <t>01 Nov 2023.xlsx</t>
  </si>
  <si>
    <t>.xlsx</t>
  </si>
  <si>
    <t>[Table]</t>
  </si>
  <si>
    <t>06 Sep 2023.xlsx</t>
  </si>
  <si>
    <t>22 Dec 2023.xlsx</t>
  </si>
  <si>
    <t>22 Sep 2023.xlsx</t>
  </si>
  <si>
    <t>01 Apr 2023.xlsx</t>
  </si>
  <si>
    <t>02 Apr 2023.xlsx</t>
  </si>
  <si>
    <t>03 Apr 2023.xlsx</t>
  </si>
  <si>
    <t>04 Apr 2023.xlsx</t>
  </si>
  <si>
    <t>02 Dec 2022.xlsx</t>
  </si>
  <si>
    <t>03 Dec 2022.xlsx</t>
  </si>
  <si>
    <t>04 Dec 2022.xlsx</t>
  </si>
  <si>
    <t>05 Dec 2022.xlsx</t>
  </si>
  <si>
    <t>06 Dec 2022.xlsx</t>
  </si>
  <si>
    <t>07 Dec 2022.xlsx</t>
  </si>
  <si>
    <t>08 Dec 2022.xlsx</t>
  </si>
  <si>
    <t>09 Dec 2022.xlsx</t>
  </si>
  <si>
    <t>10 Dec 2022.xlsx</t>
  </si>
  <si>
    <t>11 Dec 2022.xlsx</t>
  </si>
  <si>
    <t>12 Dec 2022.xlsx</t>
  </si>
  <si>
    <t>13 Dec 2022.xlsx</t>
  </si>
  <si>
    <t>14 Dec 2022.xlsx</t>
  </si>
  <si>
    <t>15 Dec 2022.xlsx</t>
  </si>
  <si>
    <t>16 Dec 2022.xlsx</t>
  </si>
  <si>
    <t>17  Dec 2022.xlsx</t>
  </si>
  <si>
    <t>18  Dec 2022.xlsx</t>
  </si>
  <si>
    <t>19  Dec 2022.xlsx</t>
  </si>
  <si>
    <t>20  Dec 2022.xlsx</t>
  </si>
  <si>
    <t>21  Dec 2022.xlsx</t>
  </si>
  <si>
    <t>23 Dec 2022.xlsx</t>
  </si>
  <si>
    <t>24 Dec 2022.xlsx</t>
  </si>
  <si>
    <t>25 Dec 2022.xlsx</t>
  </si>
  <si>
    <t>26 Dec 2022.xlsx</t>
  </si>
  <si>
    <t>27 Dec 2022.xlsx</t>
  </si>
  <si>
    <t>28 Dec 2022.xlsx</t>
  </si>
  <si>
    <t>29 Dec 2022.xlsx</t>
  </si>
  <si>
    <t>30 Dec 2022.xlsx</t>
  </si>
  <si>
    <t>31 Dec 2022.xlsx</t>
  </si>
  <si>
    <t>01 Jan 2023.xlsx</t>
  </si>
  <si>
    <t>02 Jan 2023.xlsx</t>
  </si>
  <si>
    <t>03 Jan 2023.xlsx</t>
  </si>
  <si>
    <t>04 Jan 2023.xlsx</t>
  </si>
  <si>
    <t>05 Jan 2023.xlsx</t>
  </si>
  <si>
    <t>06 Jan 2023.xlsx</t>
  </si>
  <si>
    <t>07 Jan 2023.xlsx</t>
  </si>
  <si>
    <t>08 Jan 2023.xlsx</t>
  </si>
  <si>
    <t>09 Jan 2023.xlsx</t>
  </si>
  <si>
    <t>10 Jan 2023.xlsx</t>
  </si>
  <si>
    <t>11 Jan 2023.xlsx</t>
  </si>
  <si>
    <t>12 Jan 2023.xlsx</t>
  </si>
  <si>
    <t>13 Jan 2023.xlsx</t>
  </si>
  <si>
    <t>14 Jan 2023.xlsx</t>
  </si>
  <si>
    <t>15 Jan 2023.xlsx</t>
  </si>
  <si>
    <t>16 Jan 2023.xlsx</t>
  </si>
  <si>
    <t>17 Jan 2023.xlsx</t>
  </si>
  <si>
    <t>18 Jan 2023.xlsx</t>
  </si>
  <si>
    <t>19 Jan 2023.xlsx</t>
  </si>
  <si>
    <t>20 Jan 2023.xlsx</t>
  </si>
  <si>
    <t>21 Jan 2023.xlsx</t>
  </si>
  <si>
    <t>22 Jan 2023.xlsx</t>
  </si>
  <si>
    <t>23 Jan 2023.xlsx</t>
  </si>
  <si>
    <t>24 Jan 2023.xlsx</t>
  </si>
  <si>
    <t>25 Jan 2023.xlsx</t>
  </si>
  <si>
    <t>26 Jan 2023.xlsx</t>
  </si>
  <si>
    <t>27 Jan 2023.xlsx</t>
  </si>
  <si>
    <t>28 Jan 2023.xlsx</t>
  </si>
  <si>
    <t>29 Jan 2023.xlsx</t>
  </si>
  <si>
    <t>30 Jan 2023.xlsx</t>
  </si>
  <si>
    <t>31 Jan 2023.xlsx</t>
  </si>
  <si>
    <t>01 Feb 2023.xlsx</t>
  </si>
  <si>
    <t>02 Feb 2023.xlsx</t>
  </si>
  <si>
    <t>03 Feb 2023.xlsx</t>
  </si>
  <si>
    <t>06 Feb 2023.xlsx</t>
  </si>
  <si>
    <t>07 Feb 2023.xlsx</t>
  </si>
  <si>
    <t>08 Feb 2023.xlsx</t>
  </si>
  <si>
    <t>09 Feb 2023.xlsx</t>
  </si>
  <si>
    <t>10 Feb 2023.xlsx</t>
  </si>
  <si>
    <t>11 Feb 2023.xlsx</t>
  </si>
  <si>
    <t>12 Feb 2023.xlsx</t>
  </si>
  <si>
    <t>13 Feb 2023.xlsx</t>
  </si>
  <si>
    <t>14 Feb 2023.xlsx</t>
  </si>
  <si>
    <t>15 Feb 2023.xlsx</t>
  </si>
  <si>
    <t>16 Feb 2023.xlsx</t>
  </si>
  <si>
    <t>17 Feb 2023.xlsx</t>
  </si>
  <si>
    <t>18 Feb 2023.xlsx</t>
  </si>
  <si>
    <t>19 Feb 2023.xlsx</t>
  </si>
  <si>
    <t>20 Feb 2023.xlsx</t>
  </si>
  <si>
    <t>21 Feb 2023.xlsx</t>
  </si>
  <si>
    <t>22 Feb 2023.xlsx</t>
  </si>
  <si>
    <t>23 Feb 2023.xlsx</t>
  </si>
  <si>
    <t>24 Feb 2023.xlsx</t>
  </si>
  <si>
    <t>25 Feb 2023.xlsx</t>
  </si>
  <si>
    <t>26 Feb 2023.xlsx</t>
  </si>
  <si>
    <t>27 Feb 2023.xlsx</t>
  </si>
  <si>
    <t>28 Feb 2023.xlsx</t>
  </si>
  <si>
    <t>01 Mar 2023.xlsx</t>
  </si>
  <si>
    <t>02 Mar 2023.xlsx</t>
  </si>
  <si>
    <t>03 Mar 2023.xlsx</t>
  </si>
  <si>
    <t>04 Mar 2023.xlsx</t>
  </si>
  <si>
    <t>05 Mar 2023.xlsx</t>
  </si>
  <si>
    <t>06 Mar 2023.xlsx</t>
  </si>
  <si>
    <t>07 Mar 2023.xlsx</t>
  </si>
  <si>
    <t>08 Mar 2023.xlsx</t>
  </si>
  <si>
    <t>09 Mar 2023.xlsx</t>
  </si>
  <si>
    <t>10 Mar 2023.xlsx</t>
  </si>
  <si>
    <t>11 Mar 2023.xlsx</t>
  </si>
  <si>
    <t>12 Mar 2023.xlsx</t>
  </si>
  <si>
    <t>13 Mar 2023.xlsx</t>
  </si>
  <si>
    <t>14 Mar 2023.xlsx</t>
  </si>
  <si>
    <t>15 Mar 2023.xlsx</t>
  </si>
  <si>
    <t>16 Mar 2023.xlsx</t>
  </si>
  <si>
    <t>17 Mar 2023.xlsx</t>
  </si>
  <si>
    <t>18 Mar 2023.xlsx</t>
  </si>
  <si>
    <t>19 Mar 2023.xlsx</t>
  </si>
  <si>
    <t>20 Mar 2023.xlsx</t>
  </si>
  <si>
    <t>21 Mar 2023.xlsx</t>
  </si>
  <si>
    <t>22 Mar 2023.xlsx</t>
  </si>
  <si>
    <t>23 Mar 2023.xlsx</t>
  </si>
  <si>
    <t>24 Mar 2023.xlsx</t>
  </si>
  <si>
    <t>25 Mar 2023.xlsx</t>
  </si>
  <si>
    <t>26 Mar 2023.xlsx</t>
  </si>
  <si>
    <t>27 Mar 2023.xlsx</t>
  </si>
  <si>
    <t>28 Mar 2023.xlsx</t>
  </si>
  <si>
    <t>29 Mar 2023.xlsx</t>
  </si>
  <si>
    <t>30 Mar 2023.xlsx</t>
  </si>
  <si>
    <t>31 Mar 2023.xlsx</t>
  </si>
  <si>
    <t>05 Apr 2023.xlsx</t>
  </si>
  <si>
    <t>06 Apr 2023.xlsx</t>
  </si>
  <si>
    <t>07 Apr 2023.xlsx</t>
  </si>
  <si>
    <t>08 Apr 2023.xlsx</t>
  </si>
  <si>
    <t>09 Apr 2023.xlsx</t>
  </si>
  <si>
    <t>10 Apr 2023.xlsx</t>
  </si>
  <si>
    <t>11 Apr 2023.xlsx</t>
  </si>
  <si>
    <t>12 Apr 2023.xlsx</t>
  </si>
  <si>
    <t>13 Apr 2023.xlsx</t>
  </si>
  <si>
    <t>14 Apr 2023.xlsx</t>
  </si>
  <si>
    <t>15 Apr 2023.xlsx</t>
  </si>
  <si>
    <t>16 Apr 2023.xlsx</t>
  </si>
  <si>
    <t>17 Apr 2023.xlsx</t>
  </si>
  <si>
    <t>18 Apr 2023.xlsx</t>
  </si>
  <si>
    <t>19 Apr 2023.xlsx</t>
  </si>
  <si>
    <t>20 Apr 2023.xlsx</t>
  </si>
  <si>
    <t>21 Apr 2023.xlsx</t>
  </si>
  <si>
    <t>22 Apr 2023.xlsx</t>
  </si>
  <si>
    <t>23 Apr 2023.xlsx</t>
  </si>
  <si>
    <t>24 Apr 2023.xlsx</t>
  </si>
  <si>
    <t>25 Apr 2023.xlsx</t>
  </si>
  <si>
    <t>26 Apr 2023.xlsx</t>
  </si>
  <si>
    <t>27 Apr 2023.xlsx</t>
  </si>
  <si>
    <t>28 Apr 2023.xlsx</t>
  </si>
  <si>
    <t>29 Apr 2023.xlsx</t>
  </si>
  <si>
    <t>30 Apr 2023.xlsx</t>
  </si>
  <si>
    <t>01 May 2023.xlsx</t>
  </si>
  <si>
    <t>02 May 2023.xlsx</t>
  </si>
  <si>
    <t>03 May 2023.xlsx</t>
  </si>
  <si>
    <t>04 May 2023.xlsx</t>
  </si>
  <si>
    <t>05 May 2023.xlsx</t>
  </si>
  <si>
    <t>06 May 2023.xlsx</t>
  </si>
  <si>
    <t>07 May 2023.xlsx</t>
  </si>
  <si>
    <t>08 May 2023.xlsx</t>
  </si>
  <si>
    <t>09 May 2023.xlsx</t>
  </si>
  <si>
    <t>10 May 2023.xlsx</t>
  </si>
  <si>
    <t>11 May 2023.xlsx</t>
  </si>
  <si>
    <t>12 May 2023.xlsx</t>
  </si>
  <si>
    <t>13 May 2023.xlsx</t>
  </si>
  <si>
    <t>14 May 2023.xlsx</t>
  </si>
  <si>
    <t>15 May 2023.xlsx</t>
  </si>
  <si>
    <t>16 May 2023.xlsx</t>
  </si>
  <si>
    <t>17 May 2023.xlsx</t>
  </si>
  <si>
    <t>18 May 2023.xlsx</t>
  </si>
  <si>
    <t>19 May 2023.xlsx</t>
  </si>
  <si>
    <t>20 May 2023.xlsx</t>
  </si>
  <si>
    <t>21 May 2023.xlsx</t>
  </si>
  <si>
    <t>22 May 2023.xlsx</t>
  </si>
  <si>
    <t>23 May 2023.xlsx</t>
  </si>
  <si>
    <t>24 May 2023.xlsx</t>
  </si>
  <si>
    <t>25 May 2023.xlsx</t>
  </si>
  <si>
    <t>26 May 2023.xlsx</t>
  </si>
  <si>
    <t>27 May 2023.xlsx</t>
  </si>
  <si>
    <t>28 May 2023.xlsx</t>
  </si>
  <si>
    <t>29 May 2023.xlsx</t>
  </si>
  <si>
    <t>30 May 2023.xlsx</t>
  </si>
  <si>
    <t>31 May 2023.xlsx</t>
  </si>
  <si>
    <t>01 June 2023.xlsx</t>
  </si>
  <si>
    <t>02 June 2023.xlsx</t>
  </si>
  <si>
    <t>03 June 2023.xlsx</t>
  </si>
  <si>
    <t>04 June 2023.xlsx</t>
  </si>
  <si>
    <t>05 June 2023.xlsx</t>
  </si>
  <si>
    <t>06 June 2023.xlsx</t>
  </si>
  <si>
    <t>07 June 2023.xlsx</t>
  </si>
  <si>
    <t>11 June 2023.xlsx</t>
  </si>
  <si>
    <t>12 June 2023.xlsx</t>
  </si>
  <si>
    <t>13 June 2023.xlsx</t>
  </si>
  <si>
    <t>14 June 2023.xlsx</t>
  </si>
  <si>
    <t>15 June 2023.xlsx</t>
  </si>
  <si>
    <t>16 June 2023.xlsx</t>
  </si>
  <si>
    <t>17 June 2023.xlsx</t>
  </si>
  <si>
    <t>18 June 2023.xlsx</t>
  </si>
  <si>
    <t>19 June 2023.xlsx</t>
  </si>
  <si>
    <t>20 June 2023.xlsx</t>
  </si>
  <si>
    <t>21 June 2023.xlsx</t>
  </si>
  <si>
    <t>22 June 2023.xlsx</t>
  </si>
  <si>
    <t>23 June 2023.xlsx</t>
  </si>
  <si>
    <t>24 June 2023.xlsx</t>
  </si>
  <si>
    <t>25 June 2023.xlsx</t>
  </si>
  <si>
    <t>26 June 2023.xlsx</t>
  </si>
  <si>
    <t>27 June 2023.xlsx</t>
  </si>
  <si>
    <t>28 June 2023.xlsx</t>
  </si>
  <si>
    <t>29 June 2023.xlsx</t>
  </si>
  <si>
    <t>30 June 2023.xlsx</t>
  </si>
  <si>
    <t>01 Jul 2023.xlsx</t>
  </si>
  <si>
    <t>02 Jul 2023.xlsx</t>
  </si>
  <si>
    <t>03 Jul 2023.xlsx</t>
  </si>
  <si>
    <t>04 Jul 2023.xlsx</t>
  </si>
  <si>
    <t>12 Jul 2023.xlsx</t>
  </si>
  <si>
    <t>13 Jul 2023.xlsx</t>
  </si>
  <si>
    <t>14 Jul 2023.xlsx</t>
  </si>
  <si>
    <t>15 Jul 2023.xlsx</t>
  </si>
  <si>
    <t>16 Jul 2023.xlsx</t>
  </si>
  <si>
    <t>17 Jul 2023.xlsx</t>
  </si>
  <si>
    <t>18 Jul 2023.xlsx</t>
  </si>
  <si>
    <t>19 Jul 2023.xlsx</t>
  </si>
  <si>
    <t>20 Jul 2023.xlsx</t>
  </si>
  <si>
    <t>21 Jul 2023.xlsx</t>
  </si>
  <si>
    <t>22 Jul 2023.xlsx</t>
  </si>
  <si>
    <t>23 Jul 2023.xlsx</t>
  </si>
  <si>
    <t>24 Jul 2023.xlsx</t>
  </si>
  <si>
    <t>25 Jul 2023.xlsx</t>
  </si>
  <si>
    <t>26 Jul 2023.xlsx</t>
  </si>
  <si>
    <t>27 Jul 2023.xlsx</t>
  </si>
  <si>
    <t>28 Jul 2023.xlsx</t>
  </si>
  <si>
    <t>29 Jul 2023.xlsx</t>
  </si>
  <si>
    <t>30 Jul 2023.xlsx</t>
  </si>
  <si>
    <t>31 Jul 2023.xlsx</t>
  </si>
  <si>
    <t>01 Aug 2023.xlsx</t>
  </si>
  <si>
    <t>02 Aug 2023.xlsx</t>
  </si>
  <si>
    <t>03 Aug 2023.xlsx</t>
  </si>
  <si>
    <t>04 Aug 2023.xlsx</t>
  </si>
  <si>
    <t>05 Aug 2023.xlsx</t>
  </si>
  <si>
    <t>06 Aug 2023.xlsx</t>
  </si>
  <si>
    <t>07 Aug 2023.xlsx</t>
  </si>
  <si>
    <t>08 Aug 2023.xlsx</t>
  </si>
  <si>
    <t>09 Aug 2023.xlsx</t>
  </si>
  <si>
    <t>10 Aug 2023.xlsx</t>
  </si>
  <si>
    <t>11 Aug 2023.xlsx</t>
  </si>
  <si>
    <t>12 Aug 2023.xlsx</t>
  </si>
  <si>
    <t>13 Aug 2023.xlsx</t>
  </si>
  <si>
    <t>14 Aug 2023.xlsx</t>
  </si>
  <si>
    <t>15 Aug 2023.xlsx</t>
  </si>
  <si>
    <t>16 Aug 2023.xlsx</t>
  </si>
  <si>
    <t>17 Aug 2023.xlsx</t>
  </si>
  <si>
    <t>18 Aug 2023.xlsx</t>
  </si>
  <si>
    <t>19 Aug 2023.xlsx</t>
  </si>
  <si>
    <t>20 Aug 2023.xlsx</t>
  </si>
  <si>
    <t>21 Aug 2023.xlsx</t>
  </si>
  <si>
    <t>22 Aug 2023.xlsx</t>
  </si>
  <si>
    <t>23 Aug 2023.xlsx</t>
  </si>
  <si>
    <t>24 Aug 2023.xlsx</t>
  </si>
  <si>
    <t>25 Aug 2023.xlsx</t>
  </si>
  <si>
    <t>26 Aug 2023.xlsx</t>
  </si>
  <si>
    <t>27 Aug 2023.xlsx</t>
  </si>
  <si>
    <t>28 Aug 2023.xlsx</t>
  </si>
  <si>
    <t>29 Aug 2023.xlsx</t>
  </si>
  <si>
    <t>30 Aug 2023.xlsx</t>
  </si>
  <si>
    <t>31 Aug 2023.xlsx</t>
  </si>
  <si>
    <t>01 Sep 2023.xlsx</t>
  </si>
  <si>
    <t>02 Sep 2023.xlsx</t>
  </si>
  <si>
    <t>03 Sep 2023.xlsx</t>
  </si>
  <si>
    <t>04 Sep 2023.xlsx</t>
  </si>
  <si>
    <t>05 Sep 2023.xlsx</t>
  </si>
  <si>
    <t>07 Sep 2023.xlsx</t>
  </si>
  <si>
    <t>08 Sep 2023.xlsx</t>
  </si>
  <si>
    <t>11 Sep 2023.xlsx</t>
  </si>
  <si>
    <t>12 Sep 2023.xlsx</t>
  </si>
  <si>
    <t>13 Sep 2023.xlsx</t>
  </si>
  <si>
    <t>14 Sep 2023.xlsx</t>
  </si>
  <si>
    <t>15 Sep 2023.xlsx</t>
  </si>
  <si>
    <t>16 Sep 2023.xlsx</t>
  </si>
  <si>
    <t>17 Sep 2023.xlsx</t>
  </si>
  <si>
    <t>18 Sep 2023.xlsx</t>
  </si>
  <si>
    <t>19 Sep 2023.xlsx</t>
  </si>
  <si>
    <t>20 Sep 2023.xlsx</t>
  </si>
  <si>
    <t>21 Sep 2023.xlsx</t>
  </si>
  <si>
    <t>23 Sep 2023.xlsx</t>
  </si>
  <si>
    <t>24 Sep 2023.xlsx</t>
  </si>
  <si>
    <t>25 Sep 2023.xlsx</t>
  </si>
  <si>
    <t>26 Sep 2023.xlsx</t>
  </si>
  <si>
    <t>27 Sep 2023.xlsx</t>
  </si>
  <si>
    <t>28 Sep 2023.xlsx</t>
  </si>
  <si>
    <t>29 Sep 2023.xlsx</t>
  </si>
  <si>
    <t>30 Sep 2023.xlsx</t>
  </si>
  <si>
    <t>01 Oct 2023.xlsx</t>
  </si>
  <si>
    <t>02 Oct 2023.xlsx</t>
  </si>
  <si>
    <t>03 Oct 2023.xlsx</t>
  </si>
  <si>
    <t>04 Oct 2023.xlsx</t>
  </si>
  <si>
    <t>05 Oct 2023.xlsx</t>
  </si>
  <si>
    <t>06 Oct 2023.xlsx</t>
  </si>
  <si>
    <t>07 Oct 2023.xlsx</t>
  </si>
  <si>
    <t>08 Oct 2023.xlsx</t>
  </si>
  <si>
    <t>09 Oct 2023.xlsx</t>
  </si>
  <si>
    <t>10 Oct 2023.xlsx</t>
  </si>
  <si>
    <t>11 Oct 2023.xlsx</t>
  </si>
  <si>
    <t>12 Oct 2023.xlsx</t>
  </si>
  <si>
    <t>13 Oct 2023.xlsx</t>
  </si>
  <si>
    <t>14 Oct 2023.xlsx</t>
  </si>
  <si>
    <t>15 Oct 2023.xlsx</t>
  </si>
  <si>
    <t>16 Oct 2023.xlsx</t>
  </si>
  <si>
    <t>17 Oct 2023.xlsx</t>
  </si>
  <si>
    <t>18 Oct 2023.xlsx</t>
  </si>
  <si>
    <t>19 Oct 2023.xlsx</t>
  </si>
  <si>
    <t>20 Oct 2023.xlsx</t>
  </si>
  <si>
    <t>21 Oct 2023.xlsx</t>
  </si>
  <si>
    <t>22 Oct 2023.xlsx</t>
  </si>
  <si>
    <t>23 Oct 2023.xlsx</t>
  </si>
  <si>
    <t>24 Oct 2023.xlsx</t>
  </si>
  <si>
    <t>25 Oct 2023.xlsx</t>
  </si>
  <si>
    <t>26 Oct 2023.xlsx</t>
  </si>
  <si>
    <t>27 Oct 2023.xlsx</t>
  </si>
  <si>
    <t>28 Oct 2023.xlsx</t>
  </si>
  <si>
    <t>29 Oct 2023.xlsx</t>
  </si>
  <si>
    <t>30 Oct 2023.xlsx</t>
  </si>
  <si>
    <t>31 Oct 2023.xlsx</t>
  </si>
  <si>
    <t>02 Nov 2023.xlsx</t>
  </si>
  <si>
    <t>03 Nov 2023.xlsx</t>
  </si>
  <si>
    <t>04 Nov 2023.xlsx</t>
  </si>
  <si>
    <t>05 Nov 2023.xlsx</t>
  </si>
  <si>
    <t>06 Nov 2023.xlsx</t>
  </si>
  <si>
    <t>07 Nov 2023.xlsx</t>
  </si>
  <si>
    <t>08 Nov 2023.xlsx</t>
  </si>
  <si>
    <t>09 Nov 2023.xlsx</t>
  </si>
  <si>
    <t>10 Nov 2023.xlsx</t>
  </si>
  <si>
    <t>11 Nov 2023.xlsx</t>
  </si>
  <si>
    <t>12 Nov 2023.xlsx</t>
  </si>
  <si>
    <t>13 Nov 2023.xlsx</t>
  </si>
  <si>
    <t>14 Nov 2023.xlsx</t>
  </si>
  <si>
    <t>15 Nov 2023.xlsx</t>
  </si>
  <si>
    <t>16 Nov 2023.xlsx</t>
  </si>
  <si>
    <t>17 Nov 2023.xlsx</t>
  </si>
  <si>
    <t>18 Nov 2023.xlsx</t>
  </si>
  <si>
    <t>19 Nov 2023.xlsx</t>
  </si>
  <si>
    <t>20 Nov 2023.xlsx</t>
  </si>
  <si>
    <t>21 Nov 2023.xlsx</t>
  </si>
  <si>
    <t>22 Nov 2023.xlsx</t>
  </si>
  <si>
    <t>23 Nov 2023.xlsx</t>
  </si>
  <si>
    <t>24 Nov 2023.xlsx</t>
  </si>
  <si>
    <t>25 Nov 2023.xlsx</t>
  </si>
  <si>
    <t>26 Nov 2023.xlsx</t>
  </si>
  <si>
    <t>27 Nov 2023.xlsx</t>
  </si>
  <si>
    <t>28 Nov 2023.xlsx</t>
  </si>
  <si>
    <t>29 Nov 2023.xlsx</t>
  </si>
  <si>
    <t>30 Nov 2023.xlsx</t>
  </si>
  <si>
    <t>01 Dec 2023.xlsx</t>
  </si>
  <si>
    <t>02 Dec 2023.xlsx</t>
  </si>
  <si>
    <t>03 Dec 2023.xlsx</t>
  </si>
  <si>
    <t>04 Dec 2023.xlsx</t>
  </si>
  <si>
    <t>05 Dec 2023.xlsx</t>
  </si>
  <si>
    <t>06 Dec 2023.xlsx</t>
  </si>
  <si>
    <t>07 Dec 2023.xlsx</t>
  </si>
  <si>
    <t>08 Dec 2023.xlsx</t>
  </si>
  <si>
    <t>09 Dec 2023.xlsx</t>
  </si>
  <si>
    <t>10 Dec 2023.xlsx</t>
  </si>
  <si>
    <t>11 Dec 2023.xlsx</t>
  </si>
  <si>
    <t>12 Dec 2023.xlsx</t>
  </si>
  <si>
    <t>13 Dec 2023.xlsx</t>
  </si>
  <si>
    <t>14 Dec 2023.xlsx</t>
  </si>
  <si>
    <t>15 Dec 2023.xlsx</t>
  </si>
  <si>
    <t>16 Dec 2023.xlsx</t>
  </si>
  <si>
    <t>17 Dec 2023.xlsx</t>
  </si>
  <si>
    <t>18 Dec 2023.xlsx</t>
  </si>
  <si>
    <t>19 Dec 2023.xlsx</t>
  </si>
  <si>
    <t>20 Dec 2023.xlsx</t>
  </si>
  <si>
    <t>21 Dec 2023.xlsx</t>
  </si>
  <si>
    <t>23 Dec 2023.xlsx</t>
  </si>
  <si>
    <t>24 Dec 2023.xlsx</t>
  </si>
  <si>
    <t>25 Dec 2023.xlsx</t>
  </si>
  <si>
    <t>26 Dec 2023.xlsx</t>
  </si>
  <si>
    <t>27 Dec 2023.xlsx</t>
  </si>
  <si>
    <t>28 Dec 2023.xlsx</t>
  </si>
  <si>
    <t>29 Dec 2023.xlsx</t>
  </si>
  <si>
    <t>30 Dec 2023.xlsx</t>
  </si>
  <si>
    <t>31 Dec 2023.xlsx</t>
  </si>
  <si>
    <t>22 Dec 2022.xlsx</t>
  </si>
  <si>
    <t>Total Gross Profit</t>
  </si>
  <si>
    <t>Column</t>
  </si>
  <si>
    <t>Blank Count</t>
  </si>
  <si>
    <t>Fries Cost</t>
  </si>
  <si>
    <t>Fries Sales</t>
  </si>
  <si>
    <t>Fries Profit</t>
  </si>
  <si>
    <t>Zinger Cost</t>
  </si>
  <si>
    <t>Zinger Sales</t>
  </si>
  <si>
    <t>Zinger Profit</t>
  </si>
  <si>
    <t>Loaded Cost</t>
  </si>
  <si>
    <t>Loaded Sales</t>
  </si>
  <si>
    <t>Loaded Profit</t>
  </si>
  <si>
    <t>Afghani Sausage Profit</t>
  </si>
  <si>
    <t>Cold Drinks Cost</t>
  </si>
  <si>
    <t>Cold Drinks Sales</t>
  </si>
  <si>
    <t>Cold Drinks Profit</t>
  </si>
  <si>
    <t>Daily Operational Cost</t>
  </si>
  <si>
    <t>Net Profit</t>
  </si>
  <si>
    <t>Definition</t>
  </si>
  <si>
    <t>Source / Logic</t>
  </si>
  <si>
    <t>Operating date</t>
  </si>
  <si>
    <t>Extracted from workbook filename</t>
  </si>
  <si>
    <t>Daily fries cost</t>
  </si>
  <si>
    <t>Source workbook</t>
  </si>
  <si>
    <t>Daily fries sales</t>
  </si>
  <si>
    <t>Residual sales calculation</t>
  </si>
  <si>
    <t>Fries sales minus fries cost</t>
  </si>
  <si>
    <t>Derived</t>
  </si>
  <si>
    <t>Zinger category cost</t>
  </si>
  <si>
    <t>Zinger category sales</t>
  </si>
  <si>
    <t>Zinger sales minus cost</t>
  </si>
  <si>
    <t>Standardized loaded-food cost</t>
  </si>
  <si>
    <t>Conditional extraction</t>
  </si>
  <si>
    <t>Daily drinks cost</t>
  </si>
  <si>
    <t>Standardized loaded-food sales</t>
  </si>
  <si>
    <t>Standardized loaded-food profit</t>
  </si>
  <si>
    <t>Daily drinks sales</t>
  </si>
  <si>
    <t>Type</t>
  </si>
  <si>
    <t>Currency</t>
  </si>
  <si>
    <t xml:space="preserve">Year </t>
  </si>
  <si>
    <t>Month</t>
  </si>
  <si>
    <t xml:space="preserve"> Month_Number</t>
  </si>
  <si>
    <t>Quarter</t>
  </si>
  <si>
    <t>Day_Name</t>
  </si>
  <si>
    <t>Profit_Status</t>
  </si>
  <si>
    <t>Gross_Margin</t>
  </si>
  <si>
    <t>Net_Margin</t>
  </si>
  <si>
    <t>Total Records</t>
  </si>
  <si>
    <t>Duplicate Dates</t>
  </si>
  <si>
    <t>Missing Dates</t>
  </si>
  <si>
    <t>Negative Net Profit</t>
  </si>
  <si>
    <t>Negative Gross Profit</t>
  </si>
  <si>
    <t>Negative Fries Profit</t>
  </si>
  <si>
    <t>Negative Zinger Profit</t>
  </si>
  <si>
    <t>Negative Drinks Profit</t>
  </si>
  <si>
    <t>Negative Loaded Food Profit</t>
  </si>
  <si>
    <t>Fries Profit Mismatch</t>
  </si>
  <si>
    <t>Zinger Profit Mismatch</t>
  </si>
  <si>
    <t>Loaded Food Profit Mismatch</t>
  </si>
  <si>
    <t>Drinks Profit Mismatch</t>
  </si>
  <si>
    <t>Net Profit Mismatch</t>
  </si>
  <si>
    <t>Zinger_Profit_Check</t>
  </si>
  <si>
    <t>Row Labels</t>
  </si>
  <si>
    <t>Grand Total</t>
  </si>
  <si>
    <t>January</t>
  </si>
  <si>
    <t>December</t>
  </si>
  <si>
    <t>February</t>
  </si>
  <si>
    <t>March</t>
  </si>
  <si>
    <t>April</t>
  </si>
  <si>
    <t>May</t>
  </si>
  <si>
    <t>June</t>
  </si>
  <si>
    <t>July</t>
  </si>
  <si>
    <t>August</t>
  </si>
  <si>
    <t>September</t>
  </si>
  <si>
    <t>October</t>
  </si>
  <si>
    <t>November</t>
  </si>
  <si>
    <t>Sales</t>
  </si>
  <si>
    <t>Gross Profit</t>
  </si>
  <si>
    <t>Sum of Net_Margin</t>
  </si>
  <si>
    <t>Net Margin</t>
  </si>
  <si>
    <t>Total Fries Cost</t>
  </si>
  <si>
    <t>Total Zinger Cost</t>
  </si>
  <si>
    <t>Total Loaded Cost</t>
  </si>
  <si>
    <t>Total Drinks Cost</t>
  </si>
  <si>
    <t>Total Operational Cost</t>
  </si>
  <si>
    <t>Total Net Profit</t>
  </si>
  <si>
    <t>TotalGross Profit</t>
  </si>
  <si>
    <t>Sum of Gross_Margin</t>
  </si>
  <si>
    <t>Sunday</t>
  </si>
  <si>
    <t>Monday</t>
  </si>
  <si>
    <t>Tuesday</t>
  </si>
  <si>
    <t>Wednesday</t>
  </si>
  <si>
    <t>Thursday</t>
  </si>
  <si>
    <t>Friday</t>
  </si>
  <si>
    <t>Saturday</t>
  </si>
  <si>
    <t>Avg Sales</t>
  </si>
  <si>
    <t>Avg Gross Profit</t>
  </si>
  <si>
    <t>Avg Net Profit</t>
  </si>
  <si>
    <t>Loss</t>
  </si>
  <si>
    <t>Profitable</t>
  </si>
  <si>
    <t>Days</t>
  </si>
  <si>
    <t>Operating Days</t>
  </si>
  <si>
    <t>Date Count</t>
  </si>
  <si>
    <t>XLOOKUP Demonstration</t>
  </si>
  <si>
    <t>Total Sales</t>
  </si>
  <si>
    <t>August Sales</t>
  </si>
  <si>
    <t>SUMIFS — Business Questions</t>
  </si>
  <si>
    <t>August 2023 Sales</t>
  </si>
  <si>
    <t>Friday Sales</t>
  </si>
  <si>
    <t>August 2023 Net Profit</t>
  </si>
  <si>
    <t>Friday Net Profit</t>
  </si>
  <si>
    <t>AVERAGEIFS — Business Questions</t>
  </si>
  <si>
    <t>Average August Daily Sales</t>
  </si>
  <si>
    <t>Average Friday Sales</t>
  </si>
  <si>
    <t>Average Friday Net Profit</t>
  </si>
  <si>
    <t>IF / IFS — Business Logic</t>
  </si>
  <si>
    <t>August Net Profit</t>
  </si>
  <si>
    <t>Profit Status</t>
  </si>
  <si>
    <t>Performance Classification</t>
  </si>
  <si>
    <t>Variance Analysis</t>
  </si>
  <si>
    <t>Overall Average Daily Sales</t>
  </si>
  <si>
    <t>Sales Variance</t>
  </si>
  <si>
    <t>Overall Average Daily Net Profit</t>
  </si>
  <si>
    <t>Net Profit Variance</t>
  </si>
  <si>
    <t>August Average Daily Sales</t>
  </si>
  <si>
    <t>August Average Daily Net Profit</t>
  </si>
  <si>
    <t>PROFITABILITY ANALYSIS</t>
  </si>
  <si>
    <t>Analysis of sales, gross profit, net profit, margins, and operating-day profitability from December 2022–December 2023.</t>
  </si>
  <si>
    <t>Value</t>
  </si>
  <si>
    <t>Total Operating Days</t>
  </si>
  <si>
    <t>Gross Profit Margin</t>
  </si>
  <si>
    <t>Net Profit Margin</t>
  </si>
  <si>
    <t>Profitable Days</t>
  </si>
  <si>
    <t>Loss Days</t>
  </si>
  <si>
    <t>Profitability Rate</t>
  </si>
  <si>
    <t>Monthly Net Profit — 2023</t>
  </si>
  <si>
    <t>Net profit performance across the 12 operating months of 2023.</t>
  </si>
  <si>
    <t>August and September generated the strongest monthly net profit; December was substantially weaker.</t>
  </si>
  <si>
    <t>Day</t>
  </si>
  <si>
    <t>Total</t>
  </si>
  <si>
    <t>1. Overall profitability was positive.</t>
  </si>
  <si>
    <t>2. Profitability was achieved on most operating days.</t>
  </si>
  <si>
    <r>
      <t xml:space="preserve">The business was profitable on </t>
    </r>
    <r>
      <rPr>
        <b/>
        <sz val="11"/>
        <color theme="1"/>
        <rFont val="Calibri"/>
        <family val="2"/>
        <scheme val="minor"/>
      </rPr>
      <t>300 of 381 operating days (78.74%)</t>
    </r>
    <r>
      <rPr>
        <sz val="11"/>
        <color theme="1"/>
        <rFont val="Calibri"/>
        <family val="2"/>
        <scheme val="minor"/>
      </rPr>
      <t xml:space="preserve">, while </t>
    </r>
    <r>
      <rPr>
        <b/>
        <sz val="11"/>
        <color theme="1"/>
        <rFont val="Calibri"/>
        <family val="2"/>
        <scheme val="minor"/>
      </rPr>
      <t>81 days generated losses</t>
    </r>
    <r>
      <rPr>
        <sz val="11"/>
        <color theme="1"/>
        <rFont val="Calibri"/>
        <family val="2"/>
        <scheme val="minor"/>
      </rPr>
      <t>.</t>
    </r>
  </si>
  <si>
    <t>3. August and September were the strongest profitability period.</t>
  </si>
  <si>
    <t>Profitable Sales</t>
  </si>
  <si>
    <t>Profitable Net Profit</t>
  </si>
  <si>
    <r>
      <t xml:space="preserve">August generated </t>
    </r>
    <r>
      <rPr>
        <b/>
        <sz val="11"/>
        <color theme="1"/>
        <rFont val="Calibri"/>
        <family val="2"/>
        <scheme val="minor"/>
      </rPr>
      <t>Rs. 103,240.97</t>
    </r>
    <r>
      <rPr>
        <sz val="11"/>
        <color theme="1"/>
        <rFont val="Calibri"/>
        <family val="2"/>
        <scheme val="minor"/>
      </rPr>
      <t xml:space="preserve"> net profit and September generated </t>
    </r>
    <r>
      <rPr>
        <b/>
        <sz val="11"/>
        <color theme="1"/>
        <rFont val="Calibri"/>
        <family val="2"/>
        <scheme val="minor"/>
      </rPr>
      <t>Rs. 101,905.18.</t>
    </r>
  </si>
  <si>
    <t>4. December 2023 requires attention</t>
  </si>
  <si>
    <t>December generated Rs. 357,470 in sales but only Rs. 5,589.81 net profit, resulting in a 1.56% net margin.</t>
  </si>
  <si>
    <t>5. Friday was the strongest weekday</t>
  </si>
  <si>
    <t>Friday had the highest average sales and highest average net profit.</t>
  </si>
  <si>
    <t>6. Tuesday was the weakest weekday</t>
  </si>
  <si>
    <t>Tuesday produced the lowest average sales and lowest average net profit.</t>
  </si>
  <si>
    <t>TAJ BITES</t>
  </si>
  <si>
    <t>Restaurant Business Performance Dashboard</t>
  </si>
  <si>
    <t>December 2022 – December 2023 | 381 Operating Days</t>
  </si>
  <si>
    <t>TOTAL SALES</t>
  </si>
  <si>
    <t>PKR 5,137,235</t>
  </si>
  <si>
    <t>GROSS PROFIT</t>
  </si>
  <si>
    <t>PKR 1,494,351</t>
  </si>
  <si>
    <t>NET PROFIT</t>
  </si>
  <si>
    <t>PKR 636,135</t>
  </si>
  <si>
    <t>NET MARGIN</t>
  </si>
  <si>
    <t>PROFITABLE DAYS</t>
  </si>
  <si>
    <t>300 / 381</t>
  </si>
  <si>
    <t>PROFITABILITY RATE</t>
  </si>
  <si>
    <t>Average Net Profit by Weekday</t>
  </si>
  <si>
    <t>PROFITABILITY STATUS</t>
  </si>
  <si>
    <t>PKR 4,440,010</t>
  </si>
  <si>
    <t>PKR 723,447.47</t>
  </si>
  <si>
    <t>PKR 697,225</t>
  </si>
  <si>
    <t>-PKR 87,312.87</t>
  </si>
  <si>
    <t>PKR 636,134.60</t>
  </si>
  <si>
    <t>300 of 381 operating days were profitable.</t>
  </si>
  <si>
    <t xml:space="preserve">1. Overall profitability was positive.
1. Overall profitability was positive.
</t>
  </si>
  <si>
    <t xml:space="preserve">The business generated Rs. 636,134.60 net profit on Rs. 5.14 million in sales, producing a 12.38% net margin.
</t>
  </si>
  <si>
    <t xml:space="preserve">2. Profitability was achieved on most operating days.
</t>
  </si>
  <si>
    <t>The business was profitable on 300 of 381 operating days (78.74%), while 81 days generated losses.</t>
  </si>
  <si>
    <t>August generated Rs. 103,240.97 net profit and September generated Rs. 101,905.18.</t>
  </si>
  <si>
    <t>KEY TAKEAWAYS</t>
  </si>
  <si>
    <t>Average Net Profit Represented by Each Day of the Week</t>
  </si>
  <si>
    <t>Monthly profitability</t>
  </si>
  <si>
    <t>Weekday profitability</t>
  </si>
  <si>
    <t>Key Performance Index</t>
  </si>
  <si>
    <t>Profitability Status</t>
  </si>
  <si>
    <t>Key Business findings</t>
  </si>
  <si>
    <r>
      <t xml:space="preserve">The business generated </t>
    </r>
    <r>
      <rPr>
        <b/>
        <sz val="11"/>
        <color theme="1"/>
        <rFont val="Calibri"/>
        <family val="2"/>
        <scheme val="minor"/>
      </rPr>
      <t>Rs. 636,134.60 net profit</t>
    </r>
    <r>
      <rPr>
        <sz val="11"/>
        <color theme="1"/>
        <rFont val="Calibri"/>
        <family val="2"/>
        <scheme val="minor"/>
      </rPr>
      <t xml:space="preserve"> on </t>
    </r>
    <r>
      <rPr>
        <b/>
        <sz val="11"/>
        <color theme="1"/>
        <rFont val="Calibri"/>
        <family val="2"/>
        <scheme val="minor"/>
      </rPr>
      <t>Rs. 5.14 million in sales</t>
    </r>
    <r>
      <rPr>
        <sz val="11"/>
        <color theme="1"/>
        <rFont val="Calibri"/>
        <family val="2"/>
        <scheme val="minor"/>
      </rPr>
      <t xml:space="preserve">, producing a </t>
    </r>
    <r>
      <rPr>
        <b/>
        <sz val="11"/>
        <color theme="1"/>
        <rFont val="Calibri"/>
        <family val="2"/>
        <scheme val="minor"/>
      </rPr>
      <t>12.38% net margin</t>
    </r>
    <r>
      <rPr>
        <sz val="11"/>
        <color theme="1"/>
        <rFont val="Calibri"/>
        <family val="2"/>
        <scheme val="minor"/>
      </rPr>
      <t>.</t>
    </r>
  </si>
  <si>
    <t>Check/Status</t>
  </si>
  <si>
    <t>E:\Ahmad\Analytical Projects\Taj-Bites-Analytic\raw-data\Dec 2022\</t>
  </si>
  <si>
    <t>E:\Ahmad\Analytical Projects\Taj-Bites-Analytic\raw-data\Jan 2023\</t>
  </si>
  <si>
    <t>E:\Ahmad\Analytical Projects\Taj-Bites-Analytic\raw-data\Feb 2023\</t>
  </si>
  <si>
    <t>E:\Ahmad\Analytical Projects\Taj-Bites-Analytic\raw-data\March 2023\</t>
  </si>
  <si>
    <t>E:\Ahmad\Analytical Projects\Taj-Bites-Analytic\raw-data\Apr 2023\</t>
  </si>
  <si>
    <t>E:\Ahmad\Analytical Projects\Taj-Bites-Analytic\raw-data\May 2023\</t>
  </si>
  <si>
    <t>E:\Ahmad\Analytical Projects\Taj-Bites-Analytic\raw-data\June 2023\</t>
  </si>
  <si>
    <t>E:\Ahmad\Analytical Projects\Taj-Bites-Analytic\raw-data\Jul 2023\</t>
  </si>
  <si>
    <t>E:\Ahmad\Analytical Projects\Taj-Bites-Analytic\raw-data\Aug 2023\</t>
  </si>
  <si>
    <t>E:\Ahmad\Analytical Projects\Taj-Bites-Analytic\raw-data\Sep 2023\</t>
  </si>
  <si>
    <t>E:\Ahmad\Analytical Projects\Taj-Bites-Analytic\raw-data\Oct 2023\</t>
  </si>
  <si>
    <t>E:\Ahmad\Analytical Projects\Taj-Bites-Analytic\raw-data\Nov 2023\</t>
  </si>
  <si>
    <t>E:\Ahmad\Analytical Projects\Taj-Bites-Analytic\raw-data\Dec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</si>
</sst>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mm/dd/yy;@"/>
    <numFmt numFmtId="165" formatCode="[$PKR]\ #,##0.00"/>
    <numFmt numFmtId="166" formatCode="[$PKR]\ #,##0"/>
  </numFmts>
  <fonts count="15">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6"/>
      <color theme="1"/>
      <name val="Calibri"/>
      <family val="2"/>
      <scheme val="minor"/>
    </font>
    <font>
      <b/>
      <sz val="20"/>
      <color theme="1"/>
      <name val="Calibri"/>
      <family val="2"/>
      <scheme val="minor"/>
    </font>
    <font>
      <b/>
      <sz val="22"/>
      <color theme="1"/>
      <name val="Calibri"/>
      <family val="2"/>
      <scheme val="minor"/>
    </font>
    <font>
      <b/>
      <sz val="24"/>
      <color theme="1"/>
      <name val="Calibri"/>
      <family val="2"/>
      <scheme val="minor"/>
    </font>
    <font>
      <b/>
      <sz val="28"/>
      <color theme="1"/>
      <name val="Calibri"/>
      <family val="2"/>
      <scheme val="minor"/>
    </font>
    <font>
      <sz val="12"/>
      <color theme="1"/>
      <name val="Calibri"/>
      <family val="2"/>
      <scheme val="minor"/>
    </font>
    <font>
      <sz val="22"/>
      <color theme="1"/>
      <name val="Calibri"/>
      <family val="2"/>
      <scheme val="minor"/>
    </font>
    <font>
      <sz val="10"/>
      <color theme="1"/>
      <name val="Calibri"/>
      <family val="2"/>
      <scheme val="minor"/>
    </font>
    <font>
      <b/>
      <sz val="14"/>
      <color theme="1"/>
      <name val="Arial Unicode MS"/>
    </font>
    <font>
      <b/>
      <sz val="20"/>
      <name val="Calibri"/>
      <family val="2"/>
      <scheme val="minor"/>
    </font>
    <font>
      <b/>
      <sz val="9"/>
      <color theme="1"/>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0" fillId="0" borderId="0" xfId="0" applyNumberFormat="1"/>
    <xf numFmtId="22" fontId="0" fillId="0" borderId="0" xfId="0" applyNumberFormat="1"/>
    <xf numFmtId="164" fontId="0" fillId="0" borderId="0" xfId="0" applyNumberFormat="1"/>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xf numFmtId="0" fontId="10" fillId="0" borderId="0" xfId="0" applyFont="1" applyAlignment="1">
      <alignment horizont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xf numFmtId="0" fontId="6" fillId="0" borderId="0" xfId="0" applyFont="1" applyAlignment="1"/>
    <xf numFmtId="0" fontId="0" fillId="0" borderId="0" xfId="0" applyAlignment="1">
      <alignment vertical="top" wrapText="1"/>
    </xf>
    <xf numFmtId="0" fontId="0" fillId="0" borderId="0" xfId="0" applyAlignment="1">
      <alignment vertical="top"/>
    </xf>
    <xf numFmtId="0" fontId="0" fillId="0" borderId="1" xfId="0" applyBorder="1" applyAlignment="1">
      <alignment horizontal="center" vertical="center" wrapText="1"/>
    </xf>
    <xf numFmtId="166"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0" fontId="1"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165" fontId="12" fillId="0" borderId="1" xfId="0" applyNumberFormat="1" applyFont="1" applyBorder="1" applyAlignment="1">
      <alignment horizontal="center" vertical="center"/>
    </xf>
    <xf numFmtId="165" fontId="3"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wrapText="1"/>
    </xf>
    <xf numFmtId="0" fontId="4" fillId="0" borderId="0" xfId="0" applyFont="1" applyAlignment="1"/>
    <xf numFmtId="0" fontId="3" fillId="0" borderId="0" xfId="0" applyFont="1" applyAlignment="1">
      <alignment vertical="center"/>
    </xf>
    <xf numFmtId="0" fontId="1" fillId="0" borderId="0" xfId="0" applyFont="1" applyAlignment="1">
      <alignment vertical="center"/>
    </xf>
    <xf numFmtId="0" fontId="1" fillId="0" borderId="1" xfId="0" applyFont="1" applyBorder="1" applyAlignment="1">
      <alignment horizontal="center"/>
    </xf>
    <xf numFmtId="0" fontId="0" fillId="0" borderId="1" xfId="0" applyBorder="1" applyAlignment="1">
      <alignment horizontal="center"/>
    </xf>
    <xf numFmtId="0" fontId="2" fillId="0" borderId="0" xfId="0" applyFont="1" applyBorder="1" applyAlignment="1"/>
    <xf numFmtId="0" fontId="0" fillId="0" borderId="1" xfId="0" applyBorder="1"/>
    <xf numFmtId="0" fontId="7" fillId="0" borderId="0" xfId="0" applyFont="1" applyAlignment="1"/>
    <xf numFmtId="0" fontId="8" fillId="0" borderId="0" xfId="0" applyFont="1" applyAlignment="1"/>
    <xf numFmtId="3" fontId="0" fillId="0" borderId="1" xfId="0" applyNumberFormat="1" applyBorder="1" applyAlignment="1">
      <alignment horizontal="center" vertical="center" wrapText="1"/>
    </xf>
    <xf numFmtId="0" fontId="0" fillId="0" borderId="0" xfId="0" applyBorder="1" applyAlignment="1">
      <alignment horizontal="center" vertical="top" wrapText="1"/>
    </xf>
    <xf numFmtId="0" fontId="7" fillId="0" borderId="2" xfId="0" applyFont="1" applyBorder="1" applyAlignment="1">
      <alignment vertical="center"/>
    </xf>
    <xf numFmtId="0" fontId="0" fillId="0" borderId="0" xfId="0" applyBorder="1"/>
    <xf numFmtId="1" fontId="4" fillId="0" borderId="1" xfId="0" applyNumberFormat="1" applyFont="1" applyBorder="1" applyAlignment="1">
      <alignment horizontal="center" vertical="center" wrapText="1"/>
    </xf>
    <xf numFmtId="0" fontId="0" fillId="0" borderId="1" xfId="0" applyFont="1" applyBorder="1" applyAlignment="1">
      <alignment horizont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3" fillId="0" borderId="1" xfId="0" applyFont="1" applyBorder="1" applyAlignment="1">
      <alignment horizontal="center" vertical="center"/>
    </xf>
    <xf numFmtId="0" fontId="8" fillId="0" borderId="1"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6" fillId="0" borderId="5" xfId="0" applyFont="1" applyBorder="1" applyAlignment="1">
      <alignment horizontal="center"/>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1" fillId="0" borderId="1" xfId="0" applyFont="1" applyBorder="1" applyAlignment="1">
      <alignment horizontal="left" wrapText="1"/>
    </xf>
    <xf numFmtId="0" fontId="7" fillId="0" borderId="1" xfId="0" applyFont="1" applyBorder="1" applyAlignment="1">
      <alignment horizontal="center" vertical="center"/>
    </xf>
    <xf numFmtId="0" fontId="7" fillId="0" borderId="3" xfId="0" applyFont="1" applyBorder="1" applyAlignment="1">
      <alignment horizontal="center" vertical="center"/>
    </xf>
    <xf numFmtId="0" fontId="4" fillId="0" borderId="1" xfId="0" applyFont="1" applyBorder="1" applyAlignment="1">
      <alignment horizontal="center" vertical="center"/>
    </xf>
    <xf numFmtId="0" fontId="0" fillId="0" borderId="1" xfId="0" applyFont="1" applyBorder="1" applyAlignment="1">
      <alignment horizontal="left" vertical="top" wrapText="1"/>
    </xf>
    <xf numFmtId="0" fontId="4" fillId="0" borderId="1" xfId="0" applyFont="1" applyBorder="1" applyAlignment="1">
      <alignment horizontal="center"/>
    </xf>
    <xf numFmtId="0" fontId="1" fillId="0" borderId="1" xfId="0" applyFont="1" applyBorder="1" applyAlignment="1">
      <alignment horizontal="center" vertical="center"/>
    </xf>
    <xf numFmtId="0" fontId="14" fillId="0" borderId="1" xfId="0" applyFont="1" applyBorder="1" applyAlignment="1">
      <alignment horizontal="left" vertical="center" wrapText="1"/>
    </xf>
    <xf numFmtId="0" fontId="0" fillId="0" borderId="1" xfId="0" applyBorder="1" applyAlignment="1">
      <alignment horizontal="left"/>
    </xf>
    <xf numFmtId="0" fontId="2" fillId="0" borderId="1" xfId="0" applyFont="1" applyBorder="1" applyAlignment="1">
      <alignment horizontal="center"/>
    </xf>
    <xf numFmtId="0" fontId="0" fillId="0" borderId="1" xfId="0" applyBorder="1" applyAlignment="1">
      <alignment horizontal="center"/>
    </xf>
    <xf numFmtId="0" fontId="13" fillId="0" borderId="1" xfId="0" applyFont="1" applyBorder="1" applyAlignment="1">
      <alignment horizontal="center" vertical="center" readingOrder="1"/>
    </xf>
    <xf numFmtId="10" fontId="3" fillId="0" borderId="1" xfId="0" applyNumberFormat="1" applyFont="1" applyBorder="1" applyAlignment="1">
      <alignment horizontal="center" vertical="center"/>
    </xf>
    <xf numFmtId="0" fontId="1" fillId="0" borderId="1" xfId="0" applyFont="1" applyBorder="1" applyAlignment="1">
      <alignment horizontal="center"/>
    </xf>
    <xf numFmtId="10" fontId="4" fillId="0" borderId="1" xfId="0" applyNumberFormat="1" applyFont="1" applyBorder="1" applyAlignment="1">
      <alignment horizontal="center" vertical="center"/>
    </xf>
    <xf numFmtId="0" fontId="5" fillId="0" borderId="1" xfId="0" applyFont="1" applyBorder="1" applyAlignment="1">
      <alignment horizontal="center"/>
    </xf>
    <xf numFmtId="0" fontId="2"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 fillId="0" borderId="1" xfId="0" applyFont="1" applyBorder="1" applyAlignment="1">
      <alignment horizontal="left" vertical="center"/>
    </xf>
    <xf numFmtId="0" fontId="0" fillId="0" borderId="1" xfId="0" applyBorder="1" applyAlignment="1">
      <alignment horizontal="left" wrapText="1"/>
    </xf>
    <xf numFmtId="0" fontId="11" fillId="0" borderId="1" xfId="0" applyFont="1" applyBorder="1" applyAlignment="1">
      <alignment horizontal="left" vertical="center" wrapText="1"/>
    </xf>
  </cellXfs>
  <cellStyles count="1">
    <cellStyle name="Normal" xfId="0" builtinId="0"/>
  </cellStyles>
  <dxfs count="3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m/dd/yy;@"/>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m/dd/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[Taj_Bites_Business_Analytics.xlsx]PivotTables!Monthly Performance</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s>
    <c:plotArea>
      <c:layout/>
      <c:barChart>
        <c:barDir val="col"/>
        <c:grouping val="clustered"/>
        <c:varyColors val="0"/>
        <c:ser>
          <c:idx val="0"/>
          <c:order val="0"/>
          <c:tx>
            <c:strRef>
              <c:f>PivotTables!$B$3</c:f>
              <c:strCache>
                <c:ptCount val="1"/>
                <c:pt idx="0">
                  <c:v>Sales</c:v>
                </c:pt>
              </c:strCache>
            </c:strRef>
          </c:tx>
          <c:spPr>
            <a:solidFill>
              <a:schemeClr val="accent1"/>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PivotTables!$B$4:$B$19</c:f>
              <c:numCache>
                <c:formatCode>General</c:formatCode>
                <c:ptCount val="13"/>
                <c:pt idx="0">
                  <c:v>413700</c:v>
                </c:pt>
                <c:pt idx="1">
                  <c:v>368140</c:v>
                </c:pt>
                <c:pt idx="2">
                  <c:v>272495</c:v>
                </c:pt>
                <c:pt idx="3">
                  <c:v>301720</c:v>
                </c:pt>
                <c:pt idx="4">
                  <c:v>287200</c:v>
                </c:pt>
                <c:pt idx="5">
                  <c:v>409160</c:v>
                </c:pt>
                <c:pt idx="6">
                  <c:v>369535</c:v>
                </c:pt>
                <c:pt idx="7">
                  <c:v>370380</c:v>
                </c:pt>
                <c:pt idx="8">
                  <c:v>552920</c:v>
                </c:pt>
                <c:pt idx="9">
                  <c:v>540310</c:v>
                </c:pt>
                <c:pt idx="10">
                  <c:v>495990</c:v>
                </c:pt>
                <c:pt idx="11">
                  <c:v>398215</c:v>
                </c:pt>
                <c:pt idx="12">
                  <c:v>357470</c:v>
                </c:pt>
              </c:numCache>
            </c:numRef>
          </c:val>
          <c:extLst>
            <c:ext xmlns:c16="http://schemas.microsoft.com/office/drawing/2014/chart" uri="{C3380CC4-5D6E-409C-BE32-E72D297353CC}">
              <c16:uniqueId val="{00000000-395B-471D-8B62-B6E6885DAF58}"/>
            </c:ext>
          </c:extLst>
        </c:ser>
        <c:ser>
          <c:idx val="1"/>
          <c:order val="1"/>
          <c:tx>
            <c:strRef>
              <c:f>PivotTables!$C$3</c:f>
              <c:strCache>
                <c:ptCount val="1"/>
                <c:pt idx="0">
                  <c:v>Total Fries Cost</c:v>
                </c:pt>
              </c:strCache>
            </c:strRef>
          </c:tx>
          <c:spPr>
            <a:solidFill>
              <a:schemeClr val="accent2"/>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PivotTables!$C$4:$C$19</c:f>
              <c:numCache>
                <c:formatCode>General</c:formatCode>
                <c:ptCount val="13"/>
                <c:pt idx="0">
                  <c:v>213689.94499999998</c:v>
                </c:pt>
                <c:pt idx="1">
                  <c:v>164610.87899999999</c:v>
                </c:pt>
                <c:pt idx="2">
                  <c:v>118797.51500000001</c:v>
                </c:pt>
                <c:pt idx="3">
                  <c:v>128587.94</c:v>
                </c:pt>
                <c:pt idx="4">
                  <c:v>107287.50499999998</c:v>
                </c:pt>
                <c:pt idx="5">
                  <c:v>163830.80500000002</c:v>
                </c:pt>
                <c:pt idx="6">
                  <c:v>141445.56999999998</c:v>
                </c:pt>
                <c:pt idx="7">
                  <c:v>124768.74599999998</c:v>
                </c:pt>
                <c:pt idx="8">
                  <c:v>178735.36500000002</c:v>
                </c:pt>
                <c:pt idx="9">
                  <c:v>176421.35499999995</c:v>
                </c:pt>
                <c:pt idx="10">
                  <c:v>199937.38</c:v>
                </c:pt>
                <c:pt idx="11">
                  <c:v>177077.97500000001</c:v>
                </c:pt>
                <c:pt idx="12">
                  <c:v>174018.84299999999</c:v>
                </c:pt>
              </c:numCache>
            </c:numRef>
          </c:val>
          <c:extLst>
            <c:ext xmlns:c16="http://schemas.microsoft.com/office/drawing/2014/chart" uri="{C3380CC4-5D6E-409C-BE32-E72D297353CC}">
              <c16:uniqueId val="{00000001-395B-471D-8B62-B6E6885DAF58}"/>
            </c:ext>
          </c:extLst>
        </c:ser>
        <c:ser>
          <c:idx val="2"/>
          <c:order val="2"/>
          <c:tx>
            <c:strRef>
              <c:f>PivotTables!$D$3</c:f>
              <c:strCache>
                <c:ptCount val="1"/>
                <c:pt idx="0">
                  <c:v>Total Zinger Cost</c:v>
                </c:pt>
              </c:strCache>
            </c:strRef>
          </c:tx>
          <c:spPr>
            <a:solidFill>
              <a:schemeClr val="accent3"/>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PivotTables!$D$4:$D$19</c:f>
              <c:numCache>
                <c:formatCode>General</c:formatCode>
                <c:ptCount val="13"/>
                <c:pt idx="0">
                  <c:v>57805.95</c:v>
                </c:pt>
                <c:pt idx="1">
                  <c:v>56506.424999999988</c:v>
                </c:pt>
                <c:pt idx="2">
                  <c:v>42316.409999999996</c:v>
                </c:pt>
                <c:pt idx="3">
                  <c:v>41529.9</c:v>
                </c:pt>
                <c:pt idx="4">
                  <c:v>41214.699999999997</c:v>
                </c:pt>
                <c:pt idx="5">
                  <c:v>59480.000000000007</c:v>
                </c:pt>
                <c:pt idx="6">
                  <c:v>52793.700000000012</c:v>
                </c:pt>
                <c:pt idx="7">
                  <c:v>58350.820000000007</c:v>
                </c:pt>
                <c:pt idx="8">
                  <c:v>96430.699999999968</c:v>
                </c:pt>
                <c:pt idx="9">
                  <c:v>96846.209999999992</c:v>
                </c:pt>
                <c:pt idx="10">
                  <c:v>85069.865000000005</c:v>
                </c:pt>
                <c:pt idx="11">
                  <c:v>65912.72</c:v>
                </c:pt>
                <c:pt idx="12">
                  <c:v>68093.740000000005</c:v>
                </c:pt>
              </c:numCache>
            </c:numRef>
          </c:val>
          <c:extLst>
            <c:ext xmlns:c16="http://schemas.microsoft.com/office/drawing/2014/chart" uri="{C3380CC4-5D6E-409C-BE32-E72D297353CC}">
              <c16:uniqueId val="{00000002-395B-471D-8B62-B6E6885DAF58}"/>
            </c:ext>
          </c:extLst>
        </c:ser>
        <c:ser>
          <c:idx val="3"/>
          <c:order val="3"/>
          <c:tx>
            <c:strRef>
              <c:f>PivotTables!$E$3</c:f>
              <c:strCache>
                <c:ptCount val="1"/>
                <c:pt idx="0">
                  <c:v>Total Loaded Cost</c:v>
                </c:pt>
              </c:strCache>
            </c:strRef>
          </c:tx>
          <c:spPr>
            <a:solidFill>
              <a:schemeClr val="accent4"/>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PivotTables!$E$4:$E$19</c:f>
              <c:numCache>
                <c:formatCode>General</c:formatCode>
                <c:ptCount val="13"/>
                <c:pt idx="0">
                  <c:v>8838.159999999998</c:v>
                </c:pt>
                <c:pt idx="1">
                  <c:v>7122.91</c:v>
                </c:pt>
                <c:pt idx="2">
                  <c:v>5325.75</c:v>
                </c:pt>
                <c:pt idx="3">
                  <c:v>5290.66</c:v>
                </c:pt>
                <c:pt idx="4">
                  <c:v>3910.8999999999996</c:v>
                </c:pt>
                <c:pt idx="5">
                  <c:v>6421.0699999999988</c:v>
                </c:pt>
                <c:pt idx="6">
                  <c:v>5205.420000000001</c:v>
                </c:pt>
                <c:pt idx="7">
                  <c:v>2773.25</c:v>
                </c:pt>
                <c:pt idx="8">
                  <c:v>4954.6324999999997</c:v>
                </c:pt>
                <c:pt idx="9">
                  <c:v>19343.919999999995</c:v>
                </c:pt>
                <c:pt idx="10">
                  <c:v>27708</c:v>
                </c:pt>
                <c:pt idx="11">
                  <c:v>22687.890000000003</c:v>
                </c:pt>
                <c:pt idx="12">
                  <c:v>14600.939999999997</c:v>
                </c:pt>
              </c:numCache>
            </c:numRef>
          </c:val>
          <c:extLst>
            <c:ext xmlns:c16="http://schemas.microsoft.com/office/drawing/2014/chart" uri="{C3380CC4-5D6E-409C-BE32-E72D297353CC}">
              <c16:uniqueId val="{00000003-395B-471D-8B62-B6E6885DAF58}"/>
            </c:ext>
          </c:extLst>
        </c:ser>
        <c:ser>
          <c:idx val="4"/>
          <c:order val="4"/>
          <c:tx>
            <c:strRef>
              <c:f>PivotTables!$F$3</c:f>
              <c:strCache>
                <c:ptCount val="1"/>
                <c:pt idx="0">
                  <c:v>Total Drinks Cost</c:v>
                </c:pt>
              </c:strCache>
            </c:strRef>
          </c:tx>
          <c:spPr>
            <a:solidFill>
              <a:schemeClr val="accent5"/>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PivotTables!$F$4:$F$19</c:f>
              <c:numCache>
                <c:formatCode>General</c:formatCode>
                <c:ptCount val="13"/>
                <c:pt idx="0">
                  <c:v>18431.666666666668</c:v>
                </c:pt>
                <c:pt idx="1">
                  <c:v>16822.5</c:v>
                </c:pt>
                <c:pt idx="2">
                  <c:v>16164.166666666668</c:v>
                </c:pt>
                <c:pt idx="3">
                  <c:v>32897.499999999993</c:v>
                </c:pt>
                <c:pt idx="4">
                  <c:v>37793.333333333328</c:v>
                </c:pt>
                <c:pt idx="5">
                  <c:v>52989.166666666664</c:v>
                </c:pt>
                <c:pt idx="6">
                  <c:v>69663.333333333328</c:v>
                </c:pt>
                <c:pt idx="7">
                  <c:v>62945</c:v>
                </c:pt>
                <c:pt idx="8">
                  <c:v>100241.66666666667</c:v>
                </c:pt>
                <c:pt idx="9">
                  <c:v>85593.333333333343</c:v>
                </c:pt>
                <c:pt idx="10">
                  <c:v>53360.000000000007</c:v>
                </c:pt>
                <c:pt idx="11">
                  <c:v>42238.333333333328</c:v>
                </c:pt>
                <c:pt idx="12">
                  <c:v>28516.666666666672</c:v>
                </c:pt>
              </c:numCache>
            </c:numRef>
          </c:val>
          <c:extLst>
            <c:ext xmlns:c16="http://schemas.microsoft.com/office/drawing/2014/chart" uri="{C3380CC4-5D6E-409C-BE32-E72D297353CC}">
              <c16:uniqueId val="{00000004-395B-471D-8B62-B6E6885DAF58}"/>
            </c:ext>
          </c:extLst>
        </c:ser>
        <c:ser>
          <c:idx val="5"/>
          <c:order val="5"/>
          <c:tx>
            <c:strRef>
              <c:f>PivotTables!$G$3</c:f>
              <c:strCache>
                <c:ptCount val="1"/>
                <c:pt idx="0">
                  <c:v>TotalGross Profit</c:v>
                </c:pt>
              </c:strCache>
            </c:strRef>
          </c:tx>
          <c:spPr>
            <a:solidFill>
              <a:schemeClr val="accent6"/>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PivotTables!$G$4:$G$19</c:f>
              <c:numCache>
                <c:formatCode>General</c:formatCode>
                <c:ptCount val="13"/>
                <c:pt idx="0">
                  <c:v>114934.27833333336</c:v>
                </c:pt>
                <c:pt idx="1">
                  <c:v>123077.28599999996</c:v>
                </c:pt>
                <c:pt idx="2">
                  <c:v>89891.158333333326</c:v>
                </c:pt>
                <c:pt idx="3">
                  <c:v>93414.000000000015</c:v>
                </c:pt>
                <c:pt idx="4">
                  <c:v>96993.561666666676</c:v>
                </c:pt>
                <c:pt idx="5">
                  <c:v>126438.95833333331</c:v>
                </c:pt>
                <c:pt idx="6">
                  <c:v>100944.37666666666</c:v>
                </c:pt>
                <c:pt idx="7">
                  <c:v>121542.18400000001</c:v>
                </c:pt>
                <c:pt idx="8">
                  <c:v>172557.63583333336</c:v>
                </c:pt>
                <c:pt idx="9">
                  <c:v>162105.18166666667</c:v>
                </c:pt>
                <c:pt idx="10">
                  <c:v>129914.75499999998</c:v>
                </c:pt>
                <c:pt idx="11">
                  <c:v>90298.081666666651</c:v>
                </c:pt>
                <c:pt idx="12">
                  <c:v>72239.810333333342</c:v>
                </c:pt>
              </c:numCache>
            </c:numRef>
          </c:val>
          <c:extLst>
            <c:ext xmlns:c16="http://schemas.microsoft.com/office/drawing/2014/chart" uri="{C3380CC4-5D6E-409C-BE32-E72D297353CC}">
              <c16:uniqueId val="{00000005-395B-471D-8B62-B6E6885DAF58}"/>
            </c:ext>
          </c:extLst>
        </c:ser>
        <c:ser>
          <c:idx val="6"/>
          <c:order val="6"/>
          <c:tx>
            <c:strRef>
              <c:f>PivotTables!$H$3</c:f>
              <c:strCache>
                <c:ptCount val="1"/>
                <c:pt idx="0">
                  <c:v>Total Operational Cost</c:v>
                </c:pt>
              </c:strCache>
            </c:strRef>
          </c:tx>
          <c:spPr>
            <a:solidFill>
              <a:schemeClr val="accent1">
                <a:lumMod val="60000"/>
              </a:schemeClr>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PivotTables!$H$4:$H$19</c:f>
              <c:numCache>
                <c:formatCode>General</c:formatCode>
                <c:ptCount val="13"/>
                <c:pt idx="0">
                  <c:v>63800</c:v>
                </c:pt>
                <c:pt idx="1">
                  <c:v>76700</c:v>
                </c:pt>
                <c:pt idx="2">
                  <c:v>60200</c:v>
                </c:pt>
                <c:pt idx="3">
                  <c:v>70733.333333333314</c:v>
                </c:pt>
                <c:pt idx="4">
                  <c:v>69499.999999999985</c:v>
                </c:pt>
                <c:pt idx="5">
                  <c:v>71816.666666666657</c:v>
                </c:pt>
                <c:pt idx="6">
                  <c:v>62549.999999999978</c:v>
                </c:pt>
                <c:pt idx="7">
                  <c:v>55599.999999999985</c:v>
                </c:pt>
                <c:pt idx="8">
                  <c:v>69316.666666666672</c:v>
                </c:pt>
                <c:pt idx="9">
                  <c:v>60200</c:v>
                </c:pt>
                <c:pt idx="10">
                  <c:v>66650</c:v>
                </c:pt>
                <c:pt idx="11">
                  <c:v>64500</c:v>
                </c:pt>
                <c:pt idx="12">
                  <c:v>66650</c:v>
                </c:pt>
              </c:numCache>
            </c:numRef>
          </c:val>
          <c:extLst>
            <c:ext xmlns:c16="http://schemas.microsoft.com/office/drawing/2014/chart" uri="{C3380CC4-5D6E-409C-BE32-E72D297353CC}">
              <c16:uniqueId val="{00000006-395B-471D-8B62-B6E6885DAF58}"/>
            </c:ext>
          </c:extLst>
        </c:ser>
        <c:ser>
          <c:idx val="7"/>
          <c:order val="7"/>
          <c:tx>
            <c:strRef>
              <c:f>PivotTables!$I$3</c:f>
              <c:strCache>
                <c:ptCount val="1"/>
                <c:pt idx="0">
                  <c:v>Total Net Profit</c:v>
                </c:pt>
              </c:strCache>
            </c:strRef>
          </c:tx>
          <c:spPr>
            <a:solidFill>
              <a:schemeClr val="accent2">
                <a:lumMod val="60000"/>
              </a:schemeClr>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PivotTables!$I$4:$I$19</c:f>
              <c:numCache>
                <c:formatCode>General</c:formatCode>
                <c:ptCount val="13"/>
                <c:pt idx="0">
                  <c:v>51134.278333333335</c:v>
                </c:pt>
                <c:pt idx="1">
                  <c:v>46377.286000000007</c:v>
                </c:pt>
                <c:pt idx="2">
                  <c:v>29691.158333333329</c:v>
                </c:pt>
                <c:pt idx="3">
                  <c:v>22680.666666666679</c:v>
                </c:pt>
                <c:pt idx="4">
                  <c:v>27493.561666666676</c:v>
                </c:pt>
                <c:pt idx="5">
                  <c:v>54622.291666666672</c:v>
                </c:pt>
                <c:pt idx="6">
                  <c:v>38394.376666666671</c:v>
                </c:pt>
                <c:pt idx="7">
                  <c:v>65942.184000000008</c:v>
                </c:pt>
                <c:pt idx="8">
                  <c:v>103240.96916666668</c:v>
                </c:pt>
                <c:pt idx="9">
                  <c:v>101905.18166666667</c:v>
                </c:pt>
                <c:pt idx="10">
                  <c:v>63264.754999999983</c:v>
                </c:pt>
                <c:pt idx="11">
                  <c:v>25798.081666666672</c:v>
                </c:pt>
                <c:pt idx="12">
                  <c:v>5589.8103333333383</c:v>
                </c:pt>
              </c:numCache>
            </c:numRef>
          </c:val>
          <c:extLst>
            <c:ext xmlns:c16="http://schemas.microsoft.com/office/drawing/2014/chart" uri="{C3380CC4-5D6E-409C-BE32-E72D297353CC}">
              <c16:uniqueId val="{00000007-395B-471D-8B62-B6E6885DAF58}"/>
            </c:ext>
          </c:extLst>
        </c:ser>
        <c:ser>
          <c:idx val="8"/>
          <c:order val="8"/>
          <c:tx>
            <c:strRef>
              <c:f>PivotTables!$J$3</c:f>
              <c:strCache>
                <c:ptCount val="1"/>
                <c:pt idx="0">
                  <c:v>Sum of Gross_Margin</c:v>
                </c:pt>
              </c:strCache>
            </c:strRef>
          </c:tx>
          <c:spPr>
            <a:solidFill>
              <a:schemeClr val="accent3">
                <a:lumMod val="60000"/>
              </a:schemeClr>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PivotTables!$J$4:$J$19</c:f>
              <c:numCache>
                <c:formatCode>General</c:formatCode>
                <c:ptCount val="13"/>
                <c:pt idx="0">
                  <c:v>800.12323284793388</c:v>
                </c:pt>
                <c:pt idx="1">
                  <c:v>1013.6623672327825</c:v>
                </c:pt>
                <c:pt idx="2">
                  <c:v>845.01757019778074</c:v>
                </c:pt>
                <c:pt idx="3">
                  <c:v>887.01392892040258</c:v>
                </c:pt>
                <c:pt idx="4">
                  <c:v>816.08625018027419</c:v>
                </c:pt>
                <c:pt idx="5">
                  <c:v>918.88275230329316</c:v>
                </c:pt>
                <c:pt idx="6">
                  <c:v>714.48882314458649</c:v>
                </c:pt>
                <c:pt idx="7">
                  <c:v>770.01221021929712</c:v>
                </c:pt>
                <c:pt idx="8">
                  <c:v>946.35911795815434</c:v>
                </c:pt>
                <c:pt idx="9">
                  <c:v>821.45887495461</c:v>
                </c:pt>
                <c:pt idx="10">
                  <c:v>782.28543169207148</c:v>
                </c:pt>
                <c:pt idx="11">
                  <c:v>650.12484907584076</c:v>
                </c:pt>
                <c:pt idx="12">
                  <c:v>542.95956258832985</c:v>
                </c:pt>
              </c:numCache>
            </c:numRef>
          </c:val>
          <c:extLst>
            <c:ext xmlns:c16="http://schemas.microsoft.com/office/drawing/2014/chart" uri="{C3380CC4-5D6E-409C-BE32-E72D297353CC}">
              <c16:uniqueId val="{0000000B-395B-471D-8B62-B6E6885DAF58}"/>
            </c:ext>
          </c:extLst>
        </c:ser>
        <c:ser>
          <c:idx val="9"/>
          <c:order val="9"/>
          <c:tx>
            <c:strRef>
              <c:f>PivotTables!$K$3</c:f>
              <c:strCache>
                <c:ptCount val="1"/>
                <c:pt idx="0">
                  <c:v>Sum of Net_Margin</c:v>
                </c:pt>
              </c:strCache>
            </c:strRef>
          </c:tx>
          <c:spPr>
            <a:solidFill>
              <a:schemeClr val="accent4">
                <a:lumMod val="60000"/>
              </a:schemeClr>
            </a:solidFill>
            <a:ln>
              <a:noFill/>
            </a:ln>
            <a:effectLst/>
          </c:spPr>
          <c:invertIfNegative val="0"/>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PivotTables!$K$4:$K$19</c:f>
              <c:numCache>
                <c:formatCode>General</c:formatCode>
                <c:ptCount val="13"/>
                <c:pt idx="0">
                  <c:v>316.86912293388292</c:v>
                </c:pt>
                <c:pt idx="1">
                  <c:v>332.16157006143226</c:v>
                </c:pt>
                <c:pt idx="2">
                  <c:v>257.12771204009158</c:v>
                </c:pt>
                <c:pt idx="3">
                  <c:v>6.7817920155603044</c:v>
                </c:pt>
                <c:pt idx="4">
                  <c:v>-270.47674734040368</c:v>
                </c:pt>
                <c:pt idx="5">
                  <c:v>347.39382197473896</c:v>
                </c:pt>
                <c:pt idx="6">
                  <c:v>232.77118318652234</c:v>
                </c:pt>
                <c:pt idx="7">
                  <c:v>398.3977451184665</c:v>
                </c:pt>
                <c:pt idx="8">
                  <c:v>543.96367691825969</c:v>
                </c:pt>
                <c:pt idx="9">
                  <c:v>498.1316107770752</c:v>
                </c:pt>
                <c:pt idx="10">
                  <c:v>348.19851763416438</c:v>
                </c:pt>
                <c:pt idx="11">
                  <c:v>135.13203942817529</c:v>
                </c:pt>
                <c:pt idx="12">
                  <c:v>-70.618869897567109</c:v>
                </c:pt>
              </c:numCache>
            </c:numRef>
          </c:val>
          <c:extLst>
            <c:ext xmlns:c16="http://schemas.microsoft.com/office/drawing/2014/chart" uri="{C3380CC4-5D6E-409C-BE32-E72D297353CC}">
              <c16:uniqueId val="{0000000C-395B-471D-8B62-B6E6885DAF58}"/>
            </c:ext>
          </c:extLst>
        </c:ser>
        <c:dLbls>
          <c:showLegendKey val="0"/>
          <c:showVal val="0"/>
          <c:showCatName val="0"/>
          <c:showSerName val="0"/>
          <c:showPercent val="0"/>
          <c:showBubbleSize val="0"/>
        </c:dLbls>
        <c:gapWidth val="219"/>
        <c:overlap val="-27"/>
        <c:axId val="1903789152"/>
        <c:axId val="1903782080"/>
      </c:barChart>
      <c:catAx>
        <c:axId val="190378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82080"/>
        <c:crosses val="autoZero"/>
        <c:auto val="1"/>
        <c:lblAlgn val="ctr"/>
        <c:lblOffset val="100"/>
        <c:noMultiLvlLbl val="0"/>
      </c:catAx>
      <c:valAx>
        <c:axId val="1903782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891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[Taj_Bites_Business_Analytics.xlsx]PivotTables!Monthly Performance</c:name>
    <c:fmtId val="2"/>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s>
    <c:plotArea>
      <c:layout/>
      <c:lineChart>
        <c:grouping val="standard"/>
        <c:varyColors val="0"/>
        <c:ser>
          <c:idx val="0"/>
          <c:order val="0"/>
          <c:tx>
            <c:strRef>
              <c:f>PivotTables!$B$3</c:f>
              <c:strCache>
                <c:ptCount val="1"/>
                <c:pt idx="0">
                  <c:v>Sales</c:v>
                </c:pt>
              </c:strCache>
            </c:strRef>
          </c:tx>
          <c:spPr>
            <a:ln w="28575" cap="rnd">
              <a:solidFill>
                <a:schemeClr val="accent1"/>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PivotTables!$B$4:$B$19</c:f>
              <c:numCache>
                <c:formatCode>General</c:formatCode>
                <c:ptCount val="13"/>
                <c:pt idx="0">
                  <c:v>413700</c:v>
                </c:pt>
                <c:pt idx="1">
                  <c:v>368140</c:v>
                </c:pt>
                <c:pt idx="2">
                  <c:v>272495</c:v>
                </c:pt>
                <c:pt idx="3">
                  <c:v>301720</c:v>
                </c:pt>
                <c:pt idx="4">
                  <c:v>287200</c:v>
                </c:pt>
                <c:pt idx="5">
                  <c:v>409160</c:v>
                </c:pt>
                <c:pt idx="6">
                  <c:v>369535</c:v>
                </c:pt>
                <c:pt idx="7">
                  <c:v>370380</c:v>
                </c:pt>
                <c:pt idx="8">
                  <c:v>552920</c:v>
                </c:pt>
                <c:pt idx="9">
                  <c:v>540310</c:v>
                </c:pt>
                <c:pt idx="10">
                  <c:v>495990</c:v>
                </c:pt>
                <c:pt idx="11">
                  <c:v>398215</c:v>
                </c:pt>
                <c:pt idx="12">
                  <c:v>357470</c:v>
                </c:pt>
              </c:numCache>
            </c:numRef>
          </c:val>
          <c:smooth val="0"/>
          <c:extLst>
            <c:ext xmlns:c16="http://schemas.microsoft.com/office/drawing/2014/chart" uri="{C3380CC4-5D6E-409C-BE32-E72D297353CC}">
              <c16:uniqueId val="{00000000-9CE0-4211-B08E-46F443E2D1AA}"/>
            </c:ext>
          </c:extLst>
        </c:ser>
        <c:ser>
          <c:idx val="1"/>
          <c:order val="1"/>
          <c:tx>
            <c:strRef>
              <c:f>PivotTables!$C$3</c:f>
              <c:strCache>
                <c:ptCount val="1"/>
                <c:pt idx="0">
                  <c:v>Total Fries Cost</c:v>
                </c:pt>
              </c:strCache>
            </c:strRef>
          </c:tx>
          <c:spPr>
            <a:ln w="28575" cap="rnd">
              <a:solidFill>
                <a:schemeClr val="accent2"/>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PivotTables!$C$4:$C$19</c:f>
              <c:numCache>
                <c:formatCode>General</c:formatCode>
                <c:ptCount val="13"/>
                <c:pt idx="0">
                  <c:v>213689.94499999998</c:v>
                </c:pt>
                <c:pt idx="1">
                  <c:v>164610.87899999999</c:v>
                </c:pt>
                <c:pt idx="2">
                  <c:v>118797.51500000001</c:v>
                </c:pt>
                <c:pt idx="3">
                  <c:v>128587.94</c:v>
                </c:pt>
                <c:pt idx="4">
                  <c:v>107287.50499999998</c:v>
                </c:pt>
                <c:pt idx="5">
                  <c:v>163830.80500000002</c:v>
                </c:pt>
                <c:pt idx="6">
                  <c:v>141445.56999999998</c:v>
                </c:pt>
                <c:pt idx="7">
                  <c:v>124768.74599999998</c:v>
                </c:pt>
                <c:pt idx="8">
                  <c:v>178735.36500000002</c:v>
                </c:pt>
                <c:pt idx="9">
                  <c:v>176421.35499999995</c:v>
                </c:pt>
                <c:pt idx="10">
                  <c:v>199937.38</c:v>
                </c:pt>
                <c:pt idx="11">
                  <c:v>177077.97500000001</c:v>
                </c:pt>
                <c:pt idx="12">
                  <c:v>174018.84299999999</c:v>
                </c:pt>
              </c:numCache>
            </c:numRef>
          </c:val>
          <c:smooth val="0"/>
          <c:extLst>
            <c:ext xmlns:c16="http://schemas.microsoft.com/office/drawing/2014/chart" uri="{C3380CC4-5D6E-409C-BE32-E72D297353CC}">
              <c16:uniqueId val="{00000001-9CE0-4211-B08E-46F443E2D1AA}"/>
            </c:ext>
          </c:extLst>
        </c:ser>
        <c:ser>
          <c:idx val="2"/>
          <c:order val="2"/>
          <c:tx>
            <c:strRef>
              <c:f>PivotTables!$D$3</c:f>
              <c:strCache>
                <c:ptCount val="1"/>
                <c:pt idx="0">
                  <c:v>Total Zinger Cost</c:v>
                </c:pt>
              </c:strCache>
            </c:strRef>
          </c:tx>
          <c:spPr>
            <a:ln w="28575" cap="rnd">
              <a:solidFill>
                <a:schemeClr val="accent3"/>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PivotTables!$D$4:$D$19</c:f>
              <c:numCache>
                <c:formatCode>General</c:formatCode>
                <c:ptCount val="13"/>
                <c:pt idx="0">
                  <c:v>57805.95</c:v>
                </c:pt>
                <c:pt idx="1">
                  <c:v>56506.424999999988</c:v>
                </c:pt>
                <c:pt idx="2">
                  <c:v>42316.409999999996</c:v>
                </c:pt>
                <c:pt idx="3">
                  <c:v>41529.9</c:v>
                </c:pt>
                <c:pt idx="4">
                  <c:v>41214.699999999997</c:v>
                </c:pt>
                <c:pt idx="5">
                  <c:v>59480.000000000007</c:v>
                </c:pt>
                <c:pt idx="6">
                  <c:v>52793.700000000012</c:v>
                </c:pt>
                <c:pt idx="7">
                  <c:v>58350.820000000007</c:v>
                </c:pt>
                <c:pt idx="8">
                  <c:v>96430.699999999968</c:v>
                </c:pt>
                <c:pt idx="9">
                  <c:v>96846.209999999992</c:v>
                </c:pt>
                <c:pt idx="10">
                  <c:v>85069.865000000005</c:v>
                </c:pt>
                <c:pt idx="11">
                  <c:v>65912.72</c:v>
                </c:pt>
                <c:pt idx="12">
                  <c:v>68093.740000000005</c:v>
                </c:pt>
              </c:numCache>
            </c:numRef>
          </c:val>
          <c:smooth val="0"/>
          <c:extLst>
            <c:ext xmlns:c16="http://schemas.microsoft.com/office/drawing/2014/chart" uri="{C3380CC4-5D6E-409C-BE32-E72D297353CC}">
              <c16:uniqueId val="{00000002-9CE0-4211-B08E-46F443E2D1AA}"/>
            </c:ext>
          </c:extLst>
        </c:ser>
        <c:ser>
          <c:idx val="3"/>
          <c:order val="3"/>
          <c:tx>
            <c:strRef>
              <c:f>PivotTables!$E$3</c:f>
              <c:strCache>
                <c:ptCount val="1"/>
                <c:pt idx="0">
                  <c:v>Total Loaded Cost</c:v>
                </c:pt>
              </c:strCache>
            </c:strRef>
          </c:tx>
          <c:spPr>
            <a:ln w="28575" cap="rnd">
              <a:solidFill>
                <a:schemeClr val="accent4"/>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PivotTables!$E$4:$E$19</c:f>
              <c:numCache>
                <c:formatCode>General</c:formatCode>
                <c:ptCount val="13"/>
                <c:pt idx="0">
                  <c:v>8838.159999999998</c:v>
                </c:pt>
                <c:pt idx="1">
                  <c:v>7122.91</c:v>
                </c:pt>
                <c:pt idx="2">
                  <c:v>5325.75</c:v>
                </c:pt>
                <c:pt idx="3">
                  <c:v>5290.66</c:v>
                </c:pt>
                <c:pt idx="4">
                  <c:v>3910.8999999999996</c:v>
                </c:pt>
                <c:pt idx="5">
                  <c:v>6421.0699999999988</c:v>
                </c:pt>
                <c:pt idx="6">
                  <c:v>5205.420000000001</c:v>
                </c:pt>
                <c:pt idx="7">
                  <c:v>2773.25</c:v>
                </c:pt>
                <c:pt idx="8">
                  <c:v>4954.6324999999997</c:v>
                </c:pt>
                <c:pt idx="9">
                  <c:v>19343.919999999995</c:v>
                </c:pt>
                <c:pt idx="10">
                  <c:v>27708</c:v>
                </c:pt>
                <c:pt idx="11">
                  <c:v>22687.890000000003</c:v>
                </c:pt>
                <c:pt idx="12">
                  <c:v>14600.939999999997</c:v>
                </c:pt>
              </c:numCache>
            </c:numRef>
          </c:val>
          <c:smooth val="0"/>
          <c:extLst>
            <c:ext xmlns:c16="http://schemas.microsoft.com/office/drawing/2014/chart" uri="{C3380CC4-5D6E-409C-BE32-E72D297353CC}">
              <c16:uniqueId val="{00000003-9CE0-4211-B08E-46F443E2D1AA}"/>
            </c:ext>
          </c:extLst>
        </c:ser>
        <c:ser>
          <c:idx val="4"/>
          <c:order val="4"/>
          <c:tx>
            <c:strRef>
              <c:f>PivotTables!$F$3</c:f>
              <c:strCache>
                <c:ptCount val="1"/>
                <c:pt idx="0">
                  <c:v>Total Drinks Cost</c:v>
                </c:pt>
              </c:strCache>
            </c:strRef>
          </c:tx>
          <c:spPr>
            <a:ln w="28575" cap="rnd">
              <a:solidFill>
                <a:schemeClr val="accent5"/>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PivotTables!$F$4:$F$19</c:f>
              <c:numCache>
                <c:formatCode>General</c:formatCode>
                <c:ptCount val="13"/>
                <c:pt idx="0">
                  <c:v>18431.666666666668</c:v>
                </c:pt>
                <c:pt idx="1">
                  <c:v>16822.5</c:v>
                </c:pt>
                <c:pt idx="2">
                  <c:v>16164.166666666668</c:v>
                </c:pt>
                <c:pt idx="3">
                  <c:v>32897.499999999993</c:v>
                </c:pt>
                <c:pt idx="4">
                  <c:v>37793.333333333328</c:v>
                </c:pt>
                <c:pt idx="5">
                  <c:v>52989.166666666664</c:v>
                </c:pt>
                <c:pt idx="6">
                  <c:v>69663.333333333328</c:v>
                </c:pt>
                <c:pt idx="7">
                  <c:v>62945</c:v>
                </c:pt>
                <c:pt idx="8">
                  <c:v>100241.66666666667</c:v>
                </c:pt>
                <c:pt idx="9">
                  <c:v>85593.333333333343</c:v>
                </c:pt>
                <c:pt idx="10">
                  <c:v>53360.000000000007</c:v>
                </c:pt>
                <c:pt idx="11">
                  <c:v>42238.333333333328</c:v>
                </c:pt>
                <c:pt idx="12">
                  <c:v>28516.666666666672</c:v>
                </c:pt>
              </c:numCache>
            </c:numRef>
          </c:val>
          <c:smooth val="0"/>
          <c:extLst>
            <c:ext xmlns:c16="http://schemas.microsoft.com/office/drawing/2014/chart" uri="{C3380CC4-5D6E-409C-BE32-E72D297353CC}">
              <c16:uniqueId val="{00000004-9CE0-4211-B08E-46F443E2D1AA}"/>
            </c:ext>
          </c:extLst>
        </c:ser>
        <c:ser>
          <c:idx val="5"/>
          <c:order val="5"/>
          <c:tx>
            <c:strRef>
              <c:f>PivotTables!$G$3</c:f>
              <c:strCache>
                <c:ptCount val="1"/>
                <c:pt idx="0">
                  <c:v>TotalGross Profit</c:v>
                </c:pt>
              </c:strCache>
            </c:strRef>
          </c:tx>
          <c:spPr>
            <a:ln w="28575" cap="rnd">
              <a:solidFill>
                <a:schemeClr val="accent6"/>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PivotTables!$G$4:$G$19</c:f>
              <c:numCache>
                <c:formatCode>General</c:formatCode>
                <c:ptCount val="13"/>
                <c:pt idx="0">
                  <c:v>114934.27833333336</c:v>
                </c:pt>
                <c:pt idx="1">
                  <c:v>123077.28599999996</c:v>
                </c:pt>
                <c:pt idx="2">
                  <c:v>89891.158333333326</c:v>
                </c:pt>
                <c:pt idx="3">
                  <c:v>93414.000000000015</c:v>
                </c:pt>
                <c:pt idx="4">
                  <c:v>96993.561666666676</c:v>
                </c:pt>
                <c:pt idx="5">
                  <c:v>126438.95833333331</c:v>
                </c:pt>
                <c:pt idx="6">
                  <c:v>100944.37666666666</c:v>
                </c:pt>
                <c:pt idx="7">
                  <c:v>121542.18400000001</c:v>
                </c:pt>
                <c:pt idx="8">
                  <c:v>172557.63583333336</c:v>
                </c:pt>
                <c:pt idx="9">
                  <c:v>162105.18166666667</c:v>
                </c:pt>
                <c:pt idx="10">
                  <c:v>129914.75499999998</c:v>
                </c:pt>
                <c:pt idx="11">
                  <c:v>90298.081666666651</c:v>
                </c:pt>
                <c:pt idx="12">
                  <c:v>72239.810333333342</c:v>
                </c:pt>
              </c:numCache>
            </c:numRef>
          </c:val>
          <c:smooth val="0"/>
          <c:extLst>
            <c:ext xmlns:c16="http://schemas.microsoft.com/office/drawing/2014/chart" uri="{C3380CC4-5D6E-409C-BE32-E72D297353CC}">
              <c16:uniqueId val="{00000005-9CE0-4211-B08E-46F443E2D1AA}"/>
            </c:ext>
          </c:extLst>
        </c:ser>
        <c:ser>
          <c:idx val="6"/>
          <c:order val="6"/>
          <c:tx>
            <c:strRef>
              <c:f>PivotTables!$H$3</c:f>
              <c:strCache>
                <c:ptCount val="1"/>
                <c:pt idx="0">
                  <c:v>Total Operational Cost</c:v>
                </c:pt>
              </c:strCache>
            </c:strRef>
          </c:tx>
          <c:spPr>
            <a:ln w="28575" cap="rnd">
              <a:solidFill>
                <a:schemeClr val="accent1">
                  <a:lumMod val="60000"/>
                </a:schemeClr>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PivotTables!$H$4:$H$19</c:f>
              <c:numCache>
                <c:formatCode>General</c:formatCode>
                <c:ptCount val="13"/>
                <c:pt idx="0">
                  <c:v>63800</c:v>
                </c:pt>
                <c:pt idx="1">
                  <c:v>76700</c:v>
                </c:pt>
                <c:pt idx="2">
                  <c:v>60200</c:v>
                </c:pt>
                <c:pt idx="3">
                  <c:v>70733.333333333314</c:v>
                </c:pt>
                <c:pt idx="4">
                  <c:v>69499.999999999985</c:v>
                </c:pt>
                <c:pt idx="5">
                  <c:v>71816.666666666657</c:v>
                </c:pt>
                <c:pt idx="6">
                  <c:v>62549.999999999978</c:v>
                </c:pt>
                <c:pt idx="7">
                  <c:v>55599.999999999985</c:v>
                </c:pt>
                <c:pt idx="8">
                  <c:v>69316.666666666672</c:v>
                </c:pt>
                <c:pt idx="9">
                  <c:v>60200</c:v>
                </c:pt>
                <c:pt idx="10">
                  <c:v>66650</c:v>
                </c:pt>
                <c:pt idx="11">
                  <c:v>64500</c:v>
                </c:pt>
                <c:pt idx="12">
                  <c:v>66650</c:v>
                </c:pt>
              </c:numCache>
            </c:numRef>
          </c:val>
          <c:smooth val="0"/>
          <c:extLst>
            <c:ext xmlns:c16="http://schemas.microsoft.com/office/drawing/2014/chart" uri="{C3380CC4-5D6E-409C-BE32-E72D297353CC}">
              <c16:uniqueId val="{00000006-9CE0-4211-B08E-46F443E2D1AA}"/>
            </c:ext>
          </c:extLst>
        </c:ser>
        <c:ser>
          <c:idx val="7"/>
          <c:order val="7"/>
          <c:tx>
            <c:strRef>
              <c:f>PivotTables!$I$3</c:f>
              <c:strCache>
                <c:ptCount val="1"/>
                <c:pt idx="0">
                  <c:v>Total Net Profit</c:v>
                </c:pt>
              </c:strCache>
            </c:strRef>
          </c:tx>
          <c:spPr>
            <a:ln w="28575" cap="rnd">
              <a:solidFill>
                <a:schemeClr val="accent2">
                  <a:lumMod val="60000"/>
                </a:schemeClr>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PivotTables!$I$4:$I$19</c:f>
              <c:numCache>
                <c:formatCode>General</c:formatCode>
                <c:ptCount val="13"/>
                <c:pt idx="0">
                  <c:v>51134.278333333335</c:v>
                </c:pt>
                <c:pt idx="1">
                  <c:v>46377.286000000007</c:v>
                </c:pt>
                <c:pt idx="2">
                  <c:v>29691.158333333329</c:v>
                </c:pt>
                <c:pt idx="3">
                  <c:v>22680.666666666679</c:v>
                </c:pt>
                <c:pt idx="4">
                  <c:v>27493.561666666676</c:v>
                </c:pt>
                <c:pt idx="5">
                  <c:v>54622.291666666672</c:v>
                </c:pt>
                <c:pt idx="6">
                  <c:v>38394.376666666671</c:v>
                </c:pt>
                <c:pt idx="7">
                  <c:v>65942.184000000008</c:v>
                </c:pt>
                <c:pt idx="8">
                  <c:v>103240.96916666668</c:v>
                </c:pt>
                <c:pt idx="9">
                  <c:v>101905.18166666667</c:v>
                </c:pt>
                <c:pt idx="10">
                  <c:v>63264.754999999983</c:v>
                </c:pt>
                <c:pt idx="11">
                  <c:v>25798.081666666672</c:v>
                </c:pt>
                <c:pt idx="12">
                  <c:v>5589.8103333333383</c:v>
                </c:pt>
              </c:numCache>
            </c:numRef>
          </c:val>
          <c:smooth val="0"/>
          <c:extLst>
            <c:ext xmlns:c16="http://schemas.microsoft.com/office/drawing/2014/chart" uri="{C3380CC4-5D6E-409C-BE32-E72D297353CC}">
              <c16:uniqueId val="{00000007-9CE0-4211-B08E-46F443E2D1AA}"/>
            </c:ext>
          </c:extLst>
        </c:ser>
        <c:ser>
          <c:idx val="8"/>
          <c:order val="8"/>
          <c:tx>
            <c:strRef>
              <c:f>PivotTables!$J$3</c:f>
              <c:strCache>
                <c:ptCount val="1"/>
                <c:pt idx="0">
                  <c:v>Sum of Gross_Margin</c:v>
                </c:pt>
              </c:strCache>
            </c:strRef>
          </c:tx>
          <c:spPr>
            <a:ln w="28575" cap="rnd">
              <a:solidFill>
                <a:schemeClr val="accent3">
                  <a:lumMod val="60000"/>
                </a:schemeClr>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PivotTables!$J$4:$J$19</c:f>
              <c:numCache>
                <c:formatCode>General</c:formatCode>
                <c:ptCount val="13"/>
                <c:pt idx="0">
                  <c:v>800.12323284793388</c:v>
                </c:pt>
                <c:pt idx="1">
                  <c:v>1013.6623672327825</c:v>
                </c:pt>
                <c:pt idx="2">
                  <c:v>845.01757019778074</c:v>
                </c:pt>
                <c:pt idx="3">
                  <c:v>887.01392892040258</c:v>
                </c:pt>
                <c:pt idx="4">
                  <c:v>816.08625018027419</c:v>
                </c:pt>
                <c:pt idx="5">
                  <c:v>918.88275230329316</c:v>
                </c:pt>
                <c:pt idx="6">
                  <c:v>714.48882314458649</c:v>
                </c:pt>
                <c:pt idx="7">
                  <c:v>770.01221021929712</c:v>
                </c:pt>
                <c:pt idx="8">
                  <c:v>946.35911795815434</c:v>
                </c:pt>
                <c:pt idx="9">
                  <c:v>821.45887495461</c:v>
                </c:pt>
                <c:pt idx="10">
                  <c:v>782.28543169207148</c:v>
                </c:pt>
                <c:pt idx="11">
                  <c:v>650.12484907584076</c:v>
                </c:pt>
                <c:pt idx="12">
                  <c:v>542.95956258832985</c:v>
                </c:pt>
              </c:numCache>
            </c:numRef>
          </c:val>
          <c:smooth val="0"/>
          <c:extLst>
            <c:ext xmlns:c16="http://schemas.microsoft.com/office/drawing/2014/chart" uri="{C3380CC4-5D6E-409C-BE32-E72D297353CC}">
              <c16:uniqueId val="{0000000B-9CE0-4211-B08E-46F443E2D1AA}"/>
            </c:ext>
          </c:extLst>
        </c:ser>
        <c:ser>
          <c:idx val="9"/>
          <c:order val="9"/>
          <c:tx>
            <c:strRef>
              <c:f>PivotTables!$K$3</c:f>
              <c:strCache>
                <c:ptCount val="1"/>
                <c:pt idx="0">
                  <c:v>Sum of Net_Margin</c:v>
                </c:pt>
              </c:strCache>
            </c:strRef>
          </c:tx>
          <c:spPr>
            <a:ln w="28575" cap="rnd">
              <a:solidFill>
                <a:schemeClr val="accent4">
                  <a:lumMod val="60000"/>
                </a:schemeClr>
              </a:solidFill>
              <a:round/>
            </a:ln>
            <a:effectLst/>
          </c:spPr>
          <c:marker>
            <c:symbol val="none"/>
          </c:marker>
          <c:cat>
            <c:multiLvlStrRef>
              <c:f>PivotTables!$A$4:$A$19</c:f>
              <c:multiLvlStrCache>
                <c:ptCount val="13"/>
                <c:lvl>
                  <c:pt idx="0">
                    <c:v>December</c:v>
                  </c:pt>
                  <c:pt idx="1">
                    <c:v>January</c:v>
                  </c:pt>
                  <c:pt idx="2">
                    <c:v>February</c:v>
                  </c:pt>
                  <c:pt idx="3">
                    <c:v>March</c:v>
                  </c:pt>
                  <c:pt idx="4">
                    <c:v>April</c:v>
                  </c:pt>
                  <c:pt idx="5">
                    <c:v>May</c:v>
                  </c:pt>
                  <c:pt idx="6">
                    <c:v>June</c:v>
                  </c:pt>
                  <c:pt idx="7">
                    <c:v>July</c:v>
                  </c:pt>
                  <c:pt idx="8">
                    <c:v>August</c:v>
                  </c:pt>
                  <c:pt idx="9">
                    <c:v>September</c:v>
                  </c:pt>
                  <c:pt idx="10">
                    <c:v>October</c:v>
                  </c:pt>
                  <c:pt idx="11">
                    <c:v>November</c:v>
                  </c:pt>
                  <c:pt idx="12">
                    <c:v>December</c:v>
                  </c:pt>
                </c:lvl>
                <c:lvl>
                  <c:pt idx="0">
                    <c:v>2022</c:v>
                  </c:pt>
                  <c:pt idx="1">
                    <c:v>2023</c:v>
                  </c:pt>
                </c:lvl>
              </c:multiLvlStrCache>
            </c:multiLvlStrRef>
          </c:cat>
          <c:val>
            <c:numRef>
              <c:f>PivotTables!$K$4:$K$19</c:f>
              <c:numCache>
                <c:formatCode>General</c:formatCode>
                <c:ptCount val="13"/>
                <c:pt idx="0">
                  <c:v>316.86912293388292</c:v>
                </c:pt>
                <c:pt idx="1">
                  <c:v>332.16157006143226</c:v>
                </c:pt>
                <c:pt idx="2">
                  <c:v>257.12771204009158</c:v>
                </c:pt>
                <c:pt idx="3">
                  <c:v>6.7817920155603044</c:v>
                </c:pt>
                <c:pt idx="4">
                  <c:v>-270.47674734040368</c:v>
                </c:pt>
                <c:pt idx="5">
                  <c:v>347.39382197473896</c:v>
                </c:pt>
                <c:pt idx="6">
                  <c:v>232.77118318652234</c:v>
                </c:pt>
                <c:pt idx="7">
                  <c:v>398.3977451184665</c:v>
                </c:pt>
                <c:pt idx="8">
                  <c:v>543.96367691825969</c:v>
                </c:pt>
                <c:pt idx="9">
                  <c:v>498.1316107770752</c:v>
                </c:pt>
                <c:pt idx="10">
                  <c:v>348.19851763416438</c:v>
                </c:pt>
                <c:pt idx="11">
                  <c:v>135.13203942817529</c:v>
                </c:pt>
                <c:pt idx="12">
                  <c:v>-70.618869897567109</c:v>
                </c:pt>
              </c:numCache>
            </c:numRef>
          </c:val>
          <c:smooth val="0"/>
          <c:extLst>
            <c:ext xmlns:c16="http://schemas.microsoft.com/office/drawing/2014/chart" uri="{C3380CC4-5D6E-409C-BE32-E72D297353CC}">
              <c16:uniqueId val="{0000000C-9CE0-4211-B08E-46F443E2D1AA}"/>
            </c:ext>
          </c:extLst>
        </c:ser>
        <c:dLbls>
          <c:showLegendKey val="0"/>
          <c:showVal val="0"/>
          <c:showCatName val="0"/>
          <c:showSerName val="0"/>
          <c:showPercent val="0"/>
          <c:showBubbleSize val="0"/>
        </c:dLbls>
        <c:smooth val="0"/>
        <c:axId val="1539630176"/>
        <c:axId val="1903785408"/>
      </c:lineChart>
      <c:catAx>
        <c:axId val="153963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785408"/>
        <c:crosses val="autoZero"/>
        <c:auto val="1"/>
        <c:lblAlgn val="ctr"/>
        <c:lblOffset val="100"/>
        <c:noMultiLvlLbl val="0"/>
      </c:catAx>
      <c:valAx>
        <c:axId val="1903785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630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[Taj_Bites_Business_Analytics.xlsx]PivotTables!Day-of-Week PivotTable</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PivotTables!$B$21</c:f>
              <c:strCache>
                <c:ptCount val="1"/>
                <c:pt idx="0">
                  <c:v>Avg Sales</c:v>
                </c:pt>
              </c:strCache>
            </c:strRef>
          </c:tx>
          <c:spPr>
            <a:solidFill>
              <a:schemeClr val="accent1"/>
            </a:solidFill>
            <a:ln>
              <a:noFill/>
            </a:ln>
            <a:effectLst/>
          </c:spPr>
          <c:invertIfNegative val="0"/>
          <c:cat>
            <c:strRef>
              <c:f>PivotTables!$A$22:$A$29</c:f>
              <c:strCache>
                <c:ptCount val="7"/>
                <c:pt idx="0">
                  <c:v>Sunday</c:v>
                </c:pt>
                <c:pt idx="1">
                  <c:v>Monday</c:v>
                </c:pt>
                <c:pt idx="2">
                  <c:v>Tuesday</c:v>
                </c:pt>
                <c:pt idx="3">
                  <c:v>Wednesday</c:v>
                </c:pt>
                <c:pt idx="4">
                  <c:v>Thursday</c:v>
                </c:pt>
                <c:pt idx="5">
                  <c:v>Friday</c:v>
                </c:pt>
                <c:pt idx="6">
                  <c:v>Saturday</c:v>
                </c:pt>
              </c:strCache>
            </c:strRef>
          </c:cat>
          <c:val>
            <c:numRef>
              <c:f>PivotTables!$B$22:$B$29</c:f>
              <c:numCache>
                <c:formatCode>General</c:formatCode>
                <c:ptCount val="7"/>
                <c:pt idx="0">
                  <c:v>14049.074074074075</c:v>
                </c:pt>
                <c:pt idx="1">
                  <c:v>13009.454545454546</c:v>
                </c:pt>
                <c:pt idx="2">
                  <c:v>12551.09090909091</c:v>
                </c:pt>
                <c:pt idx="3">
                  <c:v>13148.181818181818</c:v>
                </c:pt>
                <c:pt idx="4">
                  <c:v>12887.5</c:v>
                </c:pt>
                <c:pt idx="5">
                  <c:v>14479.727272727272</c:v>
                </c:pt>
                <c:pt idx="6">
                  <c:v>14288.584905660377</c:v>
                </c:pt>
              </c:numCache>
            </c:numRef>
          </c:val>
          <c:extLst>
            <c:ext xmlns:c16="http://schemas.microsoft.com/office/drawing/2014/chart" uri="{C3380CC4-5D6E-409C-BE32-E72D297353CC}">
              <c16:uniqueId val="{00000000-375A-47B4-AC94-CF2AA064D8D1}"/>
            </c:ext>
          </c:extLst>
        </c:ser>
        <c:ser>
          <c:idx val="1"/>
          <c:order val="1"/>
          <c:tx>
            <c:strRef>
              <c:f>PivotTables!$C$21</c:f>
              <c:strCache>
                <c:ptCount val="1"/>
                <c:pt idx="0">
                  <c:v>Avg Gross Profit</c:v>
                </c:pt>
              </c:strCache>
            </c:strRef>
          </c:tx>
          <c:spPr>
            <a:solidFill>
              <a:schemeClr val="accent2"/>
            </a:solidFill>
            <a:ln>
              <a:noFill/>
            </a:ln>
            <a:effectLst/>
          </c:spPr>
          <c:invertIfNegative val="0"/>
          <c:cat>
            <c:strRef>
              <c:f>PivotTables!$A$22:$A$29</c:f>
              <c:strCache>
                <c:ptCount val="7"/>
                <c:pt idx="0">
                  <c:v>Sunday</c:v>
                </c:pt>
                <c:pt idx="1">
                  <c:v>Monday</c:v>
                </c:pt>
                <c:pt idx="2">
                  <c:v>Tuesday</c:v>
                </c:pt>
                <c:pt idx="3">
                  <c:v>Wednesday</c:v>
                </c:pt>
                <c:pt idx="4">
                  <c:v>Thursday</c:v>
                </c:pt>
                <c:pt idx="5">
                  <c:v>Friday</c:v>
                </c:pt>
                <c:pt idx="6">
                  <c:v>Saturday</c:v>
                </c:pt>
              </c:strCache>
            </c:strRef>
          </c:cat>
          <c:val>
            <c:numRef>
              <c:f>PivotTables!$C$22:$C$29</c:f>
              <c:numCache>
                <c:formatCode>General</c:formatCode>
                <c:ptCount val="7"/>
                <c:pt idx="0">
                  <c:v>4007.4123595679016</c:v>
                </c:pt>
                <c:pt idx="1">
                  <c:v>3564.7823909090894</c:v>
                </c:pt>
                <c:pt idx="2">
                  <c:v>3393.5442045454542</c:v>
                </c:pt>
                <c:pt idx="3">
                  <c:v>4017.036298484848</c:v>
                </c:pt>
                <c:pt idx="4">
                  <c:v>3743.5400432098768</c:v>
                </c:pt>
                <c:pt idx="5">
                  <c:v>4479.7610424242439</c:v>
                </c:pt>
                <c:pt idx="6">
                  <c:v>4259.7739921383636</c:v>
                </c:pt>
              </c:numCache>
            </c:numRef>
          </c:val>
          <c:extLst>
            <c:ext xmlns:c16="http://schemas.microsoft.com/office/drawing/2014/chart" uri="{C3380CC4-5D6E-409C-BE32-E72D297353CC}">
              <c16:uniqueId val="{00000001-375A-47B4-AC94-CF2AA064D8D1}"/>
            </c:ext>
          </c:extLst>
        </c:ser>
        <c:ser>
          <c:idx val="2"/>
          <c:order val="2"/>
          <c:tx>
            <c:strRef>
              <c:f>PivotTables!$D$21</c:f>
              <c:strCache>
                <c:ptCount val="1"/>
                <c:pt idx="0">
                  <c:v>Avg Net Profit</c:v>
                </c:pt>
              </c:strCache>
            </c:strRef>
          </c:tx>
          <c:spPr>
            <a:solidFill>
              <a:schemeClr val="accent3"/>
            </a:solidFill>
            <a:ln>
              <a:noFill/>
            </a:ln>
            <a:effectLst/>
          </c:spPr>
          <c:invertIfNegative val="0"/>
          <c:cat>
            <c:strRef>
              <c:f>PivotTables!$A$22:$A$29</c:f>
              <c:strCache>
                <c:ptCount val="7"/>
                <c:pt idx="0">
                  <c:v>Sunday</c:v>
                </c:pt>
                <c:pt idx="1">
                  <c:v>Monday</c:v>
                </c:pt>
                <c:pt idx="2">
                  <c:v>Tuesday</c:v>
                </c:pt>
                <c:pt idx="3">
                  <c:v>Wednesday</c:v>
                </c:pt>
                <c:pt idx="4">
                  <c:v>Thursday</c:v>
                </c:pt>
                <c:pt idx="5">
                  <c:v>Friday</c:v>
                </c:pt>
                <c:pt idx="6">
                  <c:v>Saturday</c:v>
                </c:pt>
              </c:strCache>
            </c:strRef>
          </c:cat>
          <c:val>
            <c:numRef>
              <c:f>PivotTables!$D$22:$D$29</c:f>
              <c:numCache>
                <c:formatCode>General</c:formatCode>
                <c:ptCount val="7"/>
                <c:pt idx="0">
                  <c:v>1764.5111250000004</c:v>
                </c:pt>
                <c:pt idx="1">
                  <c:v>1320.5399666666665</c:v>
                </c:pt>
                <c:pt idx="2">
                  <c:v>1127.4835984848485</c:v>
                </c:pt>
                <c:pt idx="3">
                  <c:v>1750.9756924242422</c:v>
                </c:pt>
                <c:pt idx="4">
                  <c:v>1481.5030061728396</c:v>
                </c:pt>
                <c:pt idx="5">
                  <c:v>2235.215587878788</c:v>
                </c:pt>
                <c:pt idx="6">
                  <c:v>2018.264558176101</c:v>
                </c:pt>
              </c:numCache>
            </c:numRef>
          </c:val>
          <c:extLst>
            <c:ext xmlns:c16="http://schemas.microsoft.com/office/drawing/2014/chart" uri="{C3380CC4-5D6E-409C-BE32-E72D297353CC}">
              <c16:uniqueId val="{00000002-375A-47B4-AC94-CF2AA064D8D1}"/>
            </c:ext>
          </c:extLst>
        </c:ser>
        <c:dLbls>
          <c:showLegendKey val="0"/>
          <c:showVal val="0"/>
          <c:showCatName val="0"/>
          <c:showSerName val="0"/>
          <c:showPercent val="0"/>
          <c:showBubbleSize val="0"/>
        </c:dLbls>
        <c:gapWidth val="219"/>
        <c:overlap val="-27"/>
        <c:axId val="1900984704"/>
        <c:axId val="1900992192"/>
      </c:barChart>
      <c:catAx>
        <c:axId val="1900984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92192"/>
        <c:crosses val="autoZero"/>
        <c:auto val="1"/>
        <c:lblAlgn val="ctr"/>
        <c:lblOffset val="100"/>
        <c:noMultiLvlLbl val="0"/>
      </c:catAx>
      <c:valAx>
        <c:axId val="190099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9847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[Taj_Bites_Business_Analytics.xlsx]PivotTables!Profitability PivotTable</c:name>
    <c:fmtId val="0"/>
  </c:pivotSource>
  <c:chart>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PivotTables!$B$31</c:f>
              <c:strCache>
                <c:ptCount val="1"/>
                <c:pt idx="0">
                  <c:v>Days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39-4023-906C-86676DCD3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39-4023-906C-86676DCD312C}"/>
              </c:ext>
            </c:extLst>
          </c:dPt>
          <c:cat>
            <c:strRef>
              <c:f>PivotTables!$A$32:$A$34</c:f>
              <c:strCache>
                <c:ptCount val="2"/>
                <c:pt idx="0">
                  <c:v>Loss</c:v>
                </c:pt>
                <c:pt idx="1">
                  <c:v>Profitable</c:v>
                </c:pt>
              </c:strCache>
            </c:strRef>
          </c:cat>
          <c:val>
            <c:numRef>
              <c:f>PivotTables!$B$32:$B$34</c:f>
              <c:numCache>
                <c:formatCode>General</c:formatCode>
                <c:ptCount val="2"/>
                <c:pt idx="0">
                  <c:v>81</c:v>
                </c:pt>
                <c:pt idx="1">
                  <c:v>300</c:v>
                </c:pt>
              </c:numCache>
            </c:numRef>
          </c:val>
          <c:extLst>
            <c:ext xmlns:c16="http://schemas.microsoft.com/office/drawing/2014/chart" uri="{C3380CC4-5D6E-409C-BE32-E72D297353CC}">
              <c16:uniqueId val="{00000000-38BC-42D0-8057-58B2660857BF}"/>
            </c:ext>
          </c:extLst>
        </c:ser>
        <c:ser>
          <c:idx val="1"/>
          <c:order val="1"/>
          <c:tx>
            <c:strRef>
              <c:f>PivotTables!$C$31</c:f>
              <c:strCache>
                <c:ptCount val="1"/>
                <c:pt idx="0">
                  <c:v>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0B39-4023-906C-86676DCD3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0B39-4023-906C-86676DCD312C}"/>
              </c:ext>
            </c:extLst>
          </c:dPt>
          <c:cat>
            <c:strRef>
              <c:f>PivotTables!$A$32:$A$34</c:f>
              <c:strCache>
                <c:ptCount val="2"/>
                <c:pt idx="0">
                  <c:v>Loss</c:v>
                </c:pt>
                <c:pt idx="1">
                  <c:v>Profitable</c:v>
                </c:pt>
              </c:strCache>
            </c:strRef>
          </c:cat>
          <c:val>
            <c:numRef>
              <c:f>PivotTables!$C$32:$C$34</c:f>
              <c:numCache>
                <c:formatCode>General</c:formatCode>
                <c:ptCount val="2"/>
                <c:pt idx="0">
                  <c:v>697225</c:v>
                </c:pt>
                <c:pt idx="1">
                  <c:v>4440010</c:v>
                </c:pt>
              </c:numCache>
            </c:numRef>
          </c:val>
          <c:extLst>
            <c:ext xmlns:c16="http://schemas.microsoft.com/office/drawing/2014/chart" uri="{C3380CC4-5D6E-409C-BE32-E72D297353CC}">
              <c16:uniqueId val="{00000001-38BC-42D0-8057-58B2660857BF}"/>
            </c:ext>
          </c:extLst>
        </c:ser>
        <c:ser>
          <c:idx val="2"/>
          <c:order val="2"/>
          <c:tx>
            <c:strRef>
              <c:f>PivotTables!$D$31</c:f>
              <c:strCache>
                <c:ptCount val="1"/>
                <c:pt idx="0">
                  <c:v>Net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0B39-4023-906C-86676DCD312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0B39-4023-906C-86676DCD312C}"/>
              </c:ext>
            </c:extLst>
          </c:dPt>
          <c:cat>
            <c:strRef>
              <c:f>PivotTables!$A$32:$A$34</c:f>
              <c:strCache>
                <c:ptCount val="2"/>
                <c:pt idx="0">
                  <c:v>Loss</c:v>
                </c:pt>
                <c:pt idx="1">
                  <c:v>Profitable</c:v>
                </c:pt>
              </c:strCache>
            </c:strRef>
          </c:cat>
          <c:val>
            <c:numRef>
              <c:f>PivotTables!$D$32:$D$34</c:f>
              <c:numCache>
                <c:formatCode>General</c:formatCode>
                <c:ptCount val="2"/>
                <c:pt idx="0">
                  <c:v>-87312.866333333324</c:v>
                </c:pt>
                <c:pt idx="1">
                  <c:v>723447.46749999933</c:v>
                </c:pt>
              </c:numCache>
            </c:numRef>
          </c:val>
          <c:extLst>
            <c:ext xmlns:c16="http://schemas.microsoft.com/office/drawing/2014/chart" uri="{C3380CC4-5D6E-409C-BE32-E72D297353CC}">
              <c16:uniqueId val="{00000002-38BC-42D0-8057-58B2660857B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NET PROFIT — 2023</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'Business Insights'!$D$15</c:f>
              <c:strCache>
                <c:ptCount val="1"/>
                <c:pt idx="0">
                  <c:v>Net Profit</c:v>
                </c:pt>
              </c:strCache>
            </c:strRef>
          </c:tx>
          <c:spPr>
            <a:solidFill>
              <a:schemeClr val="accent1"/>
            </a:solidFill>
            <a:ln>
              <a:noFill/>
            </a:ln>
            <a:effectLst/>
          </c:spPr>
          <c:invertIfNegative val="0"/>
          <c:cat>
            <c:strRef>
              <c:f>('Business Insights'!$A$16,'Business Insights'!$A$17,'Business Insights'!$A$18,'Business Insights'!$A$19,'Business Insights'!$A$20,'Business Insights'!$A$21,'Business Insights'!$A$22,'Business Insights'!$A$23,'Business Insights'!$A$24,'Business Insights'!$A$25,'Business Insights'!$A$26,'Business Insights'!$A$27)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('Business Insights'!$D$16,'Business Insights'!$D$17,'Business Insights'!$D$18,'Business Insights'!$D$19,'Business Insights'!$D$20,'Business Insights'!$D$21,'Business Insights'!$D$22,'Business Insights'!$D$23,'Business Insights'!$D$24,'Business Insights'!$D$25,'Business Insights'!$D$26,'Business Insights'!$D$27)</c:f>
              <c:numCache>
                <c:formatCode>[$PKR]\ #,##0.00</c:formatCode>
                <c:ptCount val="12"/>
                <c:pt idx="0">
                  <c:v>46377.286000000007</c:v>
                </c:pt>
                <c:pt idx="1">
                  <c:v>29691.158333333329</c:v>
                </c:pt>
                <c:pt idx="2">
                  <c:v>22680.666666666679</c:v>
                </c:pt>
                <c:pt idx="3">
                  <c:v>27493.561666666676</c:v>
                </c:pt>
                <c:pt idx="4">
                  <c:v>54622.291666666672</c:v>
                </c:pt>
                <c:pt idx="5">
                  <c:v>38394.376666666671</c:v>
                </c:pt>
                <c:pt idx="6">
                  <c:v>65942.184000000008</c:v>
                </c:pt>
                <c:pt idx="7">
                  <c:v>103240.96916666668</c:v>
                </c:pt>
                <c:pt idx="8">
                  <c:v>101905.18166666667</c:v>
                </c:pt>
                <c:pt idx="9">
                  <c:v>63264.754999999983</c:v>
                </c:pt>
                <c:pt idx="10">
                  <c:v>25798.081666666672</c:v>
                </c:pt>
                <c:pt idx="11">
                  <c:v>5589.8103333333383</c:v>
                </c:pt>
              </c:numCache>
            </c:numRef>
          </c:val>
          <c:extLst>
            <c:ext xmlns:c16="http://schemas.microsoft.com/office/drawing/2014/chart" uri="{C3380CC4-5D6E-409C-BE32-E72D297353CC}">
              <c16:uniqueId val="{00000000-FA61-434C-BF1E-D6AA76CEA43D}"/>
            </c:ext>
          </c:extLst>
        </c:ser>
        <c:dLbls>
          <c:showLegendKey val="0"/>
          <c:showVal val="0"/>
          <c:showCatName val="0"/>
          <c:showSerName val="0"/>
          <c:showPercent val="0"/>
          <c:showBubbleSize val="0"/>
        </c:dLbls>
        <c:gapWidth val="219"/>
        <c:overlap val="-27"/>
        <c:axId val="1630745536"/>
        <c:axId val="1630746368"/>
      </c:barChart>
      <c:catAx>
        <c:axId val="16307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746368"/>
        <c:crosses val="autoZero"/>
        <c:auto val="1"/>
        <c:lblAlgn val="ctr"/>
        <c:lblOffset val="100"/>
        <c:noMultiLvlLbl val="0"/>
      </c:catAx>
      <c:valAx>
        <c:axId val="1630746368"/>
        <c:scaling>
          <c:orientation val="minMax"/>
        </c:scaling>
        <c:delete val="0"/>
        <c:axPos val="l"/>
        <c:majorGridlines>
          <c:spPr>
            <a:ln w="9525" cap="flat" cmpd="sng" algn="ctr">
              <a:solidFill>
                <a:schemeClr val="tx1">
                  <a:lumMod val="15000"/>
                  <a:lumOff val="85000"/>
                </a:schemeClr>
              </a:solidFill>
              <a:round/>
            </a:ln>
            <a:effectLst/>
          </c:spPr>
        </c:majorGridlines>
        <c:numFmt formatCode="[$PK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745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Net Profit by Weekday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'Business Insights'!$I$15</c:f>
              <c:strCache>
                <c:ptCount val="1"/>
                <c:pt idx="0">
                  <c:v>Avg Net Profit</c:v>
                </c:pt>
              </c:strCache>
            </c:strRef>
          </c:tx>
          <c:spPr>
            <a:solidFill>
              <a:schemeClr val="accent1"/>
            </a:solidFill>
            <a:ln>
              <a:noFill/>
            </a:ln>
            <a:effectLst/>
          </c:spPr>
          <c:invertIfNegative val="0"/>
          <c:cat>
            <c:strRef>
              <c:f>('Business Insights'!$F$16,'Business Insights'!$F$17,'Business Insights'!$F$18,'Business Insights'!$F$19,'Business Insights'!$F$20,'Business Insights'!$F$21,'Business Insights'!$F$22)</c:f>
              <c:strCache>
                <c:ptCount val="7"/>
                <c:pt idx="0">
                  <c:v>Sunday</c:v>
                </c:pt>
                <c:pt idx="1">
                  <c:v>Monday</c:v>
                </c:pt>
                <c:pt idx="2">
                  <c:v>Tuesday</c:v>
                </c:pt>
                <c:pt idx="3">
                  <c:v>Wednesday</c:v>
                </c:pt>
                <c:pt idx="4">
                  <c:v>Thursday</c:v>
                </c:pt>
                <c:pt idx="5">
                  <c:v>Friday</c:v>
                </c:pt>
                <c:pt idx="6">
                  <c:v>Saturday</c:v>
                </c:pt>
              </c:strCache>
            </c:strRef>
          </c:cat>
          <c:val>
            <c:numRef>
              <c:f>('Business Insights'!$I$16,'Business Insights'!$I$17,'Business Insights'!$I$18,'Business Insights'!$I$19,'Business Insights'!$I$20,'Business Insights'!$I$21,'Business Insights'!$I$22)</c:f>
              <c:numCache>
                <c:formatCode>[$PKR]\ #,##0.00</c:formatCode>
                <c:ptCount val="7"/>
                <c:pt idx="0">
                  <c:v>1764.5111250000004</c:v>
                </c:pt>
                <c:pt idx="1">
                  <c:v>1320.5399666666665</c:v>
                </c:pt>
                <c:pt idx="2">
                  <c:v>1127.4835984848485</c:v>
                </c:pt>
                <c:pt idx="3">
                  <c:v>1750.9756924242422</c:v>
                </c:pt>
                <c:pt idx="4">
                  <c:v>1481.5030061728396</c:v>
                </c:pt>
                <c:pt idx="5">
                  <c:v>2235.215587878788</c:v>
                </c:pt>
                <c:pt idx="6">
                  <c:v>2018.264558176101</c:v>
                </c:pt>
              </c:numCache>
            </c:numRef>
          </c:val>
          <c:extLst>
            <c:ext xmlns:c16="http://schemas.microsoft.com/office/drawing/2014/chart" uri="{C3380CC4-5D6E-409C-BE32-E72D297353CC}">
              <c16:uniqueId val="{00000000-439C-4593-AA20-243DBE478408}"/>
            </c:ext>
          </c:extLst>
        </c:ser>
        <c:dLbls>
          <c:showLegendKey val="0"/>
          <c:showVal val="0"/>
          <c:showCatName val="0"/>
          <c:showSerName val="0"/>
          <c:showPercent val="0"/>
          <c:showBubbleSize val="0"/>
        </c:dLbls>
        <c:gapWidth val="219"/>
        <c:overlap val="-27"/>
        <c:axId val="1539636000"/>
        <c:axId val="1539639328"/>
      </c:barChart>
      <c:catAx>
        <c:axId val="153963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639328"/>
        <c:crosses val="autoZero"/>
        <c:auto val="1"/>
        <c:lblAlgn val="ctr"/>
        <c:lblOffset val="100"/>
        <c:noMultiLvlLbl val="0"/>
      </c:catAx>
      <c:valAx>
        <c:axId val="1539639328"/>
        <c:scaling>
          <c:orientation val="minMax"/>
        </c:scaling>
        <c:delete val="0"/>
        <c:axPos val="l"/>
        <c:majorGridlines>
          <c:spPr>
            <a:ln w="9525" cap="flat" cmpd="sng" algn="ctr">
              <a:solidFill>
                <a:schemeClr val="tx1">
                  <a:lumMod val="15000"/>
                  <a:lumOff val="85000"/>
                </a:schemeClr>
              </a:solidFill>
              <a:round/>
            </a:ln>
            <a:effectLst/>
          </c:spPr>
        </c:majorGridlines>
        <c:numFmt formatCode="[$PKR]\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6360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12</xdr:col>
      <xdr:colOff>13607</xdr:colOff>
      <xdr:row>1</xdr:row>
      <xdr:rowOff>4082</xdr:rowOff>
    </xdr:from>
    <xdr:to>
      <xdr:col>27</xdr:col>
      <xdr:colOff>0</xdr:colOff>
      <xdr:row>17</xdr:row>
      <xdr:rowOff>190499</xdr:rowOff>
    </xdr:to>
    <xdr:graphicFrame macro="">
      <xdr:nvGraphicFramePr>
        <xdr:cNvPr id="2" name="Monthly Sales &amp; Profi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18</xdr:row>
      <xdr:rowOff>1</xdr:rowOff>
    </xdr:from>
    <xdr:to>
      <xdr:col>32</xdr:col>
      <xdr:colOff>598714</xdr:colOff>
      <xdr:row>32</xdr:row>
      <xdr:rowOff>186419</xdr:rowOff>
    </xdr:to>
    <xdr:graphicFrame macro="">
      <xdr:nvGraphicFramePr>
        <xdr:cNvPr id="4" name="Monthly Net Profit Trend"/>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598715</xdr:colOff>
      <xdr:row>33</xdr:row>
      <xdr:rowOff>13607</xdr:rowOff>
    </xdr:from>
    <xdr:to>
      <xdr:col>33</xdr:col>
      <xdr:colOff>0</xdr:colOff>
      <xdr:row>51</xdr:row>
      <xdr:rowOff>176893</xdr:rowOff>
    </xdr:to>
    <xdr:graphicFrame macro="">
      <xdr:nvGraphicFramePr>
        <xdr:cNvPr id="5" name="Average Performance by Da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13606</xdr:colOff>
      <xdr:row>1</xdr:row>
      <xdr:rowOff>0</xdr:rowOff>
    </xdr:from>
    <xdr:to>
      <xdr:col>32</xdr:col>
      <xdr:colOff>598714</xdr:colOff>
      <xdr:row>18</xdr:row>
      <xdr:rowOff>0</xdr:rowOff>
    </xdr:to>
    <xdr:graphicFrame macro="">
      <xdr:nvGraphicFramePr>
        <xdr:cNvPr id="6" name="Average Performance by Day"/>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12246</xdr:colOff>
      <xdr:row>44</xdr:row>
      <xdr:rowOff>99330</xdr:rowOff>
    </xdr:from>
    <xdr:to>
      <xdr:col>21</xdr:col>
      <xdr:colOff>12246</xdr:colOff>
      <xdr:row>51</xdr:row>
      <xdr:rowOff>190499</xdr:rowOff>
    </xdr:to>
    <mc:AlternateContent xmlns:mc="http://schemas.openxmlformats.org/markup-compatibility/2006" xmlns:a14="http://schemas.microsoft.com/office/drawing/2010/main">
      <mc:Choice Requires="a14">
        <xdr:graphicFrame macro="">
          <xdr:nvGraphicFramePr>
            <xdr:cNvPr id="7" name="Year "/>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20259675" y="8481330"/>
              <a:ext cx="1836964" cy="14246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36739</xdr:colOff>
      <xdr:row>33</xdr:row>
      <xdr:rowOff>13607</xdr:rowOff>
    </xdr:from>
    <xdr:to>
      <xdr:col>15</xdr:col>
      <xdr:colOff>27214</xdr:colOff>
      <xdr:row>51</xdr:row>
      <xdr:rowOff>176893</xdr:rowOff>
    </xdr:to>
    <mc:AlternateContent xmlns:mc="http://schemas.openxmlformats.org/markup-compatibility/2006" xmlns:a14="http://schemas.microsoft.com/office/drawing/2010/main">
      <mc:Choice Requires="a14">
        <xdr:graphicFrame macro="">
          <xdr:nvGraphicFramePr>
            <xdr:cNvPr id="8"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6610239" y="6300107"/>
              <a:ext cx="1827439" cy="3592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33</xdr:row>
      <xdr:rowOff>25851</xdr:rowOff>
    </xdr:from>
    <xdr:to>
      <xdr:col>21</xdr:col>
      <xdr:colOff>38100</xdr:colOff>
      <xdr:row>44</xdr:row>
      <xdr:rowOff>68036</xdr:rowOff>
    </xdr:to>
    <mc:AlternateContent xmlns:mc="http://schemas.openxmlformats.org/markup-compatibility/2006" xmlns:a14="http://schemas.microsoft.com/office/drawing/2010/main">
      <mc:Choice Requires="a14">
        <xdr:graphicFrame macro="">
          <xdr:nvGraphicFramePr>
            <xdr:cNvPr id="9" name="Quarte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20285529" y="6312351"/>
              <a:ext cx="1836964" cy="21376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xdr:colOff>
      <xdr:row>33</xdr:row>
      <xdr:rowOff>13609</xdr:rowOff>
    </xdr:from>
    <xdr:to>
      <xdr:col>18</xdr:col>
      <xdr:colOff>19050</xdr:colOff>
      <xdr:row>51</xdr:row>
      <xdr:rowOff>176893</xdr:rowOff>
    </xdr:to>
    <mc:AlternateContent xmlns:mc="http://schemas.openxmlformats.org/markup-compatibility/2006" xmlns:a14="http://schemas.microsoft.com/office/drawing/2010/main">
      <mc:Choice Requires="a14">
        <xdr:graphicFrame macro="">
          <xdr:nvGraphicFramePr>
            <xdr:cNvPr id="10" name="Day_Name"/>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8429514" y="6300109"/>
              <a:ext cx="1836965" cy="3592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10</xdr:row>
      <xdr:rowOff>9526</xdr:rowOff>
    </xdr:from>
    <xdr:to>
      <xdr:col>4</xdr:col>
      <xdr:colOff>593911</xdr:colOff>
      <xdr:row>23</xdr:row>
      <xdr:rowOff>171450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xdr:colOff>
      <xdr:row>10</xdr:row>
      <xdr:rowOff>16565</xdr:rowOff>
    </xdr:from>
    <xdr:to>
      <xdr:col>12</xdr:col>
      <xdr:colOff>11206</xdr:colOff>
      <xdr:row>23</xdr:row>
      <xdr:rowOff>180974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257.360262847222" createdVersion="6" refreshedVersion="6" minRefreshableVersion="3" recordCount="381">
  <cacheSource type="worksheet">
    <worksheetSource name="tbl_daily"/>
  </cacheSource>
  <cacheFields count="25">
    <cacheField name="Date" numFmtId="164">
      <sharedItems containsSemiMixedTypes="0" containsNonDate="0" containsDate="1" containsString="0" minDate="2022-12-02T00:00:00" maxDate="2024-01-01T00:00:00"/>
    </cacheField>
    <cacheField name="Fries_Cost" numFmtId="0">
      <sharedItems containsSemiMixedTypes="0" containsString="0" containsNumber="1" minValue="1103.4350000000013" maxValue="9561.1450000000004"/>
    </cacheField>
    <cacheField name="Fries_Sales" numFmtId="0">
      <sharedItems containsSemiMixedTypes="0" containsString="0" containsNumber="1" containsInteger="1" minValue="1330" maxValue="12320"/>
    </cacheField>
    <cacheField name="Fries_Profit" numFmtId="0">
      <sharedItems containsSemiMixedTypes="0" containsString="0" containsNumber="1" minValue="-3746.7349999999969" maxValue="8221.4350000000013"/>
    </cacheField>
    <cacheField name="Zinger_Cost" numFmtId="0">
      <sharedItems containsSemiMixedTypes="0" containsString="0" containsNumber="1" minValue="-365.99999999999977" maxValue="6031.3750000000009"/>
    </cacheField>
    <cacheField name="Zinger_Sales" numFmtId="0">
      <sharedItems containsSemiMixedTypes="0" containsString="0" containsNumber="1" containsInteger="1" minValue="0" maxValue="12060"/>
    </cacheField>
    <cacheField name="Zinger_Profit" numFmtId="0">
      <sharedItems containsSemiMixedTypes="0" containsString="0" containsNumber="1" minValue="-635.25" maxValue="6028.6249999999991"/>
    </cacheField>
    <cacheField name="Loaded_Food_Cost" numFmtId="0">
      <sharedItems containsSemiMixedTypes="0" containsString="0" containsNumber="1" minValue="-1668.3767500000001" maxValue="1914.02"/>
    </cacheField>
    <cacheField name="Loaded_Food_Sales" numFmtId="0">
      <sharedItems containsSemiMixedTypes="0" containsString="0" containsNumber="1" containsInteger="1" minValue="0" maxValue="5700"/>
    </cacheField>
    <cacheField name="Loaded_Food_Profit" numFmtId="0">
      <sharedItems containsSemiMixedTypes="0" containsString="0" containsNumber="1" minValue="-606.60000000000014" maxValue="4602.25"/>
    </cacheField>
    <cacheField name="Drinks_Cost" numFmtId="0">
      <sharedItems containsSemiMixedTypes="0" containsString="0" containsNumber="1" minValue="190.83333333333331" maxValue="5109.166666666667"/>
    </cacheField>
    <cacheField name="Drinks_Sales" numFmtId="0">
      <sharedItems containsSemiMixedTypes="0" containsString="0" containsNumber="1" containsInteger="1" minValue="210" maxValue="6680"/>
    </cacheField>
    <cacheField name="Drinks_Profit" numFmtId="0">
      <sharedItems containsSemiMixedTypes="0" containsString="0" containsNumber="1" minValue="-25" maxValue="1570.833333333333"/>
    </cacheField>
    <cacheField name="Daily_Operational_Cost" numFmtId="0">
      <sharedItems containsSemiMixedTypes="0" containsString="0" containsNumber="1" minValue="1700" maxValue="2500"/>
    </cacheField>
    <cacheField name="Total_Daily_Sales" numFmtId="0">
      <sharedItems containsSemiMixedTypes="0" containsString="0" containsNumber="1" containsInteger="1" minValue="2380" maxValue="30000"/>
    </cacheField>
    <cacheField name="Total Gross Profit" numFmtId="0">
      <sharedItems containsSemiMixedTypes="0" containsString="0" containsNumber="1" minValue="-2300.6499999999996" maxValue="13135.688333333334"/>
    </cacheField>
    <cacheField name="Net_Profit" numFmtId="0">
      <sharedItems containsSemiMixedTypes="0" containsString="0" containsNumber="1" minValue="-4555.3240000000005" maxValue="10985.688333333334"/>
    </cacheField>
    <cacheField name="Year " numFmtId="0">
      <sharedItems containsSemiMixedTypes="0" containsString="0" containsNumber="1" containsInteger="1" minValue="1900" maxValue="2023" count="3">
        <n v="2022"/>
        <n v="2023"/>
        <n v="1900" u="1"/>
      </sharedItems>
    </cacheField>
    <cacheField name="Month" numFmtId="0">
      <sharedItems count="12">
        <s v="December"/>
        <s v="January"/>
        <s v="February"/>
        <s v="March"/>
        <s v="April"/>
        <s v="May"/>
        <s v="June"/>
        <s v="July"/>
        <s v="August"/>
        <s v="September"/>
        <s v="October"/>
        <s v="November"/>
      </sharedItems>
    </cacheField>
    <cacheField name=" Month_Number" numFmtId="0">
      <sharedItems containsSemiMixedTypes="0" containsString="0" containsNumber="1" containsInteger="1" minValue="1" maxValue="12"/>
    </cacheField>
    <cacheField name="Quarter" numFmtId="0">
      <sharedItems count="4">
        <s v="Q4"/>
        <s v="Q1"/>
        <s v="Q2"/>
        <s v="Q3"/>
      </sharedItems>
    </cacheField>
    <cacheField name="Day_Name" numFmtId="0">
      <sharedItems count="7">
        <s v="Friday"/>
        <s v="Saturday"/>
        <s v="Sunday"/>
        <s v="Monday"/>
        <s v="Tuesday"/>
        <s v="Wednesday"/>
        <s v="Thursday"/>
      </sharedItems>
    </cacheField>
    <cacheField name="Profit_Status" numFmtId="0">
      <sharedItems count="2">
        <s v="Profitable"/>
        <s v="Loss"/>
      </sharedItems>
    </cacheField>
    <cacheField name="Gross_Margin" numFmtId="0">
      <sharedItems containsSemiMixedTypes="0" containsString="0" containsNumber="1" minValue="-72.214752688172084" maxValue="86.601641604010041"/>
    </cacheField>
    <cacheField name="Net_Margin" numFmtId="0">
      <sharedItems containsSemiMixedTypes="0" containsString="0" containsNumber="1" minValue="-146.94593548387098" maxValue="70.4362280701754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81">
  <r>
    <d v="2022-12-02T00:00:00"/>
    <n v="7395.965000000002"/>
    <n v="9730"/>
    <n v="2334.0349999999989"/>
    <n v="2614.2499999999995"/>
    <n v="4200"/>
    <n v="1585.7500000000005"/>
    <n v="641.49"/>
    <n v="2330"/>
    <n v="1688.51"/>
    <n v="771.66666666666652"/>
    <n v="990"/>
    <n v="218.33333333333337"/>
    <n v="2100"/>
    <n v="17250"/>
    <n v="5826.6283333333331"/>
    <n v="3726.6283333333326"/>
    <x v="0"/>
    <x v="0"/>
    <n v="12"/>
    <x v="0"/>
    <x v="0"/>
    <x v="0"/>
    <n v="33.777555555555558"/>
    <n v="21.60364251207729"/>
  </r>
  <r>
    <d v="2022-12-03T00:00:00"/>
    <n v="9047.4"/>
    <n v="11510"/>
    <n v="2462.6000000000004"/>
    <n v="1167.95"/>
    <n v="2100"/>
    <n v="932.05"/>
    <n v="305"/>
    <n v="1350"/>
    <n v="1045"/>
    <n v="599.16666666666663"/>
    <n v="790"/>
    <n v="190.83333333333337"/>
    <n v="2100"/>
    <n v="15750"/>
    <n v="4630.4833333333336"/>
    <n v="2530.4833333333336"/>
    <x v="0"/>
    <x v="0"/>
    <n v="12"/>
    <x v="0"/>
    <x v="1"/>
    <x v="0"/>
    <n v="29.399894179894183"/>
    <n v="16.066560846560847"/>
  </r>
  <r>
    <d v="2022-12-04T00:00:00"/>
    <n v="6657.0600000000013"/>
    <n v="7390"/>
    <n v="732.93999999999869"/>
    <n v="1560.9"/>
    <n v="2310"/>
    <n v="749.10000000000014"/>
    <n v="813"/>
    <n v="1700"/>
    <n v="887"/>
    <n v="740"/>
    <n v="1000"/>
    <n v="260"/>
    <n v="2100"/>
    <n v="12400"/>
    <n v="2629.0399999999991"/>
    <n v="529.03999999999905"/>
    <x v="0"/>
    <x v="0"/>
    <n v="12"/>
    <x v="0"/>
    <x v="2"/>
    <x v="0"/>
    <n v="21.201935483870958"/>
    <n v="4.2664516129032179"/>
  </r>
  <r>
    <d v="2022-12-05T00:00:00"/>
    <n v="6454.0999999999976"/>
    <n v="9500"/>
    <n v="3045.9000000000024"/>
    <n v="2245.3000000000002"/>
    <n v="4200"/>
    <n v="1954.7"/>
    <n v="333"/>
    <n v="670"/>
    <n v="337"/>
    <n v="763.33333333333348"/>
    <n v="1010"/>
    <n v="246.66666666666663"/>
    <n v="2100"/>
    <n v="15380"/>
    <n v="5584.2666666666692"/>
    <n v="3484.2666666666692"/>
    <x v="0"/>
    <x v="0"/>
    <n v="12"/>
    <x v="0"/>
    <x v="3"/>
    <x v="0"/>
    <n v="36.30862592110968"/>
    <n v="22.65452969224102"/>
  </r>
  <r>
    <d v="2022-12-06T00:00:00"/>
    <n v="6140.6950000000006"/>
    <n v="7010"/>
    <n v="869.30499999999938"/>
    <n v="1538.35"/>
    <n v="3070"/>
    <n v="1531.65"/>
    <n v="313.45"/>
    <n v="600"/>
    <n v="286.55"/>
    <n v="760"/>
    <n v="970"/>
    <n v="210"/>
    <n v="2100"/>
    <n v="11650"/>
    <n v="2897.5049999999997"/>
    <n v="797.50499999999965"/>
    <x v="0"/>
    <x v="0"/>
    <n v="12"/>
    <x v="0"/>
    <x v="4"/>
    <x v="0"/>
    <n v="24.871287553648067"/>
    <n v="6.8455364806866923"/>
  </r>
  <r>
    <d v="2022-12-07T00:00:00"/>
    <n v="6554.1150000000007"/>
    <n v="8100"/>
    <n v="1545.8849999999993"/>
    <n v="1836.35"/>
    <n v="5040"/>
    <n v="3203.65"/>
    <n v="198.81"/>
    <n v="300"/>
    <n v="101.19"/>
    <n v="980.83333333333326"/>
    <n v="1290"/>
    <n v="309.16666666666674"/>
    <n v="2100"/>
    <n v="14730"/>
    <n v="5159.8916666666664"/>
    <n v="3059.8916666666664"/>
    <x v="0"/>
    <x v="0"/>
    <n v="12"/>
    <x v="0"/>
    <x v="5"/>
    <x v="0"/>
    <n v="35.029814437655574"/>
    <n v="20.773195293052726"/>
  </r>
  <r>
    <d v="2022-12-08T00:00:00"/>
    <n v="5881.0349999999999"/>
    <n v="6660"/>
    <n v="778.96500000000015"/>
    <n v="3654.8"/>
    <n v="7140"/>
    <n v="3485.2"/>
    <n v="461.65999999999997"/>
    <n v="1330"/>
    <n v="868.34"/>
    <n v="749.99999999999989"/>
    <n v="980"/>
    <n v="230.00000000000011"/>
    <n v="2100"/>
    <n v="16110"/>
    <n v="5362.5050000000001"/>
    <n v="3262.5050000000001"/>
    <x v="0"/>
    <x v="0"/>
    <n v="12"/>
    <x v="0"/>
    <x v="6"/>
    <x v="0"/>
    <n v="33.286809435133456"/>
    <n v="20.25142768466791"/>
  </r>
  <r>
    <d v="2022-12-09T00:00:00"/>
    <n v="5413.1149999999998"/>
    <n v="6650"/>
    <n v="1236.8850000000002"/>
    <n v="1268.7999999999995"/>
    <n v="2310"/>
    <n v="1041.2000000000005"/>
    <n v="178"/>
    <n v="120"/>
    <n v="-58"/>
    <n v="620.83333333333326"/>
    <n v="830"/>
    <n v="209.16666666666671"/>
    <n v="1700"/>
    <n v="9910"/>
    <n v="2429.251666666667"/>
    <n v="729.25166666666701"/>
    <x v="0"/>
    <x v="0"/>
    <n v="12"/>
    <x v="0"/>
    <x v="0"/>
    <x v="0"/>
    <n v="24.513134880591998"/>
    <n v="7.3587453750420488"/>
  </r>
  <r>
    <d v="2022-12-10T00:00:00"/>
    <n v="9176.7200000000012"/>
    <n v="12000"/>
    <n v="2823.2799999999988"/>
    <n v="3939.7500000000009"/>
    <n v="7560"/>
    <n v="3620.2499999999991"/>
    <n v="309"/>
    <n v="2010"/>
    <n v="1701"/>
    <n v="1194.1666666666667"/>
    <n v="1490"/>
    <n v="295.83333333333326"/>
    <n v="1700"/>
    <n v="23060"/>
    <n v="8440.3633333333328"/>
    <n v="6740.3633333333328"/>
    <x v="0"/>
    <x v="0"/>
    <n v="12"/>
    <x v="0"/>
    <x v="1"/>
    <x v="0"/>
    <n v="36.601749060422087"/>
    <n v="29.229676206996242"/>
  </r>
  <r>
    <d v="2022-12-11T00:00:00"/>
    <n v="8557.08"/>
    <n v="9350"/>
    <n v="792.92"/>
    <n v="2370.7000000000003"/>
    <n v="4200"/>
    <n v="1829.2999999999995"/>
    <n v="354"/>
    <n v="1640"/>
    <n v="1286"/>
    <n v="678.33333333333337"/>
    <n v="910"/>
    <n v="231.66666666666663"/>
    <n v="1700"/>
    <n v="16100"/>
    <n v="4139.8866666666663"/>
    <n v="2439.8866666666663"/>
    <x v="0"/>
    <x v="0"/>
    <n v="12"/>
    <x v="0"/>
    <x v="2"/>
    <x v="0"/>
    <n v="25.713581780538302"/>
    <n v="15.154575569358176"/>
  </r>
  <r>
    <d v="2022-12-12T00:00:00"/>
    <n v="8388.9400000000023"/>
    <n v="10910"/>
    <n v="2521.0599999999977"/>
    <n v="2348.5"/>
    <n v="3780"/>
    <n v="1431.5"/>
    <n v="339.15000000000003"/>
    <n v="1460"/>
    <n v="1120.8499999999999"/>
    <n v="368.33333333333326"/>
    <n v="400"/>
    <n v="31.666666666666689"/>
    <n v="1700"/>
    <n v="16550"/>
    <n v="5105.076666666665"/>
    <n v="3405.076666666665"/>
    <x v="0"/>
    <x v="0"/>
    <n v="12"/>
    <x v="0"/>
    <x v="3"/>
    <x v="0"/>
    <n v="30.846384692849938"/>
    <n v="20.574481369587101"/>
  </r>
  <r>
    <d v="2022-12-13T00:00:00"/>
    <n v="7390.19"/>
    <n v="9850"/>
    <n v="2459.8100000000004"/>
    <n v="961.94999999999982"/>
    <n v="2100"/>
    <n v="1138.0500000000002"/>
    <n v="90"/>
    <n v="750"/>
    <n v="660"/>
    <n v="595"/>
    <n v="730"/>
    <n v="135"/>
    <n v="2100"/>
    <n v="13430"/>
    <n v="4392.8600000000006"/>
    <n v="2292.8600000000006"/>
    <x v="0"/>
    <x v="0"/>
    <n v="12"/>
    <x v="0"/>
    <x v="4"/>
    <x v="0"/>
    <n v="32.70930752047655"/>
    <n v="17.072673119880868"/>
  </r>
  <r>
    <d v="2022-12-14T00:00:00"/>
    <n v="7461.23"/>
    <n v="8730"/>
    <n v="1268.7700000000004"/>
    <n v="2836.8000000000006"/>
    <n v="5460"/>
    <n v="2623.1999999999994"/>
    <n v="258"/>
    <n v="360"/>
    <n v="102"/>
    <n v="481.66666666666674"/>
    <n v="700"/>
    <n v="218.33333333333331"/>
    <n v="2100"/>
    <n v="15250"/>
    <n v="4212.3033333333333"/>
    <n v="2112.3033333333333"/>
    <x v="0"/>
    <x v="0"/>
    <n v="12"/>
    <x v="0"/>
    <x v="5"/>
    <x v="0"/>
    <n v="27.621661202185795"/>
    <n v="13.851169398907103"/>
  </r>
  <r>
    <d v="2022-12-15T00:00:00"/>
    <n v="6902.3849999999993"/>
    <n v="6590"/>
    <n v="-312.38499999999931"/>
    <n v="1258.4000000000001"/>
    <n v="1890"/>
    <n v="631.59999999999991"/>
    <n v="539"/>
    <n v="1270"/>
    <n v="731"/>
    <n v="190.83333333333331"/>
    <n v="250"/>
    <n v="59.166666666666686"/>
    <n v="2100"/>
    <n v="10000"/>
    <n v="1109.3816666666671"/>
    <n v="-990.61833333333266"/>
    <x v="0"/>
    <x v="0"/>
    <n v="12"/>
    <x v="0"/>
    <x v="6"/>
    <x v="1"/>
    <n v="11.093816666666671"/>
    <n v="-9.9061833333333258"/>
  </r>
  <r>
    <d v="2022-12-16T00:00:00"/>
    <n v="6968.4699999999984"/>
    <n v="9075"/>
    <n v="2106.5300000000016"/>
    <n v="2610.1000000000004"/>
    <n v="3990"/>
    <n v="1379.8999999999996"/>
    <n v="282.66000000000003"/>
    <n v="1490"/>
    <n v="1207.3399999999999"/>
    <n v="585"/>
    <n v="560"/>
    <n v="-25"/>
    <n v="2100"/>
    <n v="15115"/>
    <n v="4668.7700000000013"/>
    <n v="2568.7700000000013"/>
    <x v="0"/>
    <x v="0"/>
    <n v="12"/>
    <x v="0"/>
    <x v="0"/>
    <x v="0"/>
    <n v="30.888322858088003"/>
    <n v="16.994839563347679"/>
  </r>
  <r>
    <d v="2022-12-17T00:00:00"/>
    <n v="6277.9250000000011"/>
    <n v="7310"/>
    <n v="1032.0749999999989"/>
    <n v="1765.1"/>
    <n v="3150"/>
    <n v="1384.9"/>
    <n v="118"/>
    <n v="120"/>
    <n v="2"/>
    <n v="314.16666666666669"/>
    <n v="420"/>
    <n v="105.83333333333331"/>
    <n v="2100"/>
    <n v="11000"/>
    <n v="2524.8083333333325"/>
    <n v="424.80833333333248"/>
    <x v="0"/>
    <x v="0"/>
    <n v="12"/>
    <x v="0"/>
    <x v="1"/>
    <x v="0"/>
    <n v="22.952803030303023"/>
    <n v="3.8618939393939318"/>
  </r>
  <r>
    <d v="2022-12-18T00:00:00"/>
    <n v="7192.3549999999996"/>
    <n v="7570"/>
    <n v="377.64500000000049"/>
    <n v="1874.25"/>
    <n v="3570"/>
    <n v="1695.7500000000002"/>
    <n v="202"/>
    <n v="480"/>
    <n v="278"/>
    <n v="420.83333333333326"/>
    <n v="490"/>
    <n v="69.166666666666686"/>
    <n v="2100"/>
    <n v="12110"/>
    <n v="2420.561666666667"/>
    <n v="320.56166666666695"/>
    <x v="0"/>
    <x v="0"/>
    <n v="12"/>
    <x v="0"/>
    <x v="2"/>
    <x v="0"/>
    <n v="19.988122763556294"/>
    <n v="2.6470823011285463"/>
  </r>
  <r>
    <d v="2022-12-19T00:00:00"/>
    <n v="7391.92"/>
    <n v="7320"/>
    <n v="-71.920000000000073"/>
    <n v="854.05"/>
    <n v="1050"/>
    <n v="195.94999999999993"/>
    <n v="174"/>
    <n v="990"/>
    <n v="816"/>
    <n v="580.83333333333326"/>
    <n v="760"/>
    <n v="179.16666666666674"/>
    <n v="2100"/>
    <n v="10120"/>
    <n v="1119.1966666666667"/>
    <n v="-980.80333333333328"/>
    <x v="0"/>
    <x v="0"/>
    <n v="12"/>
    <x v="0"/>
    <x v="3"/>
    <x v="1"/>
    <n v="11.059255599472992"/>
    <n v="-9.6917325428194996"/>
  </r>
  <r>
    <d v="2022-12-20T00:00:00"/>
    <n v="5568.7099999999991"/>
    <n v="6860"/>
    <n v="1291.2900000000009"/>
    <n v="1822.2999999999995"/>
    <n v="3360"/>
    <n v="1537.7000000000005"/>
    <n v="118"/>
    <n v="370"/>
    <n v="252"/>
    <n v="357.5"/>
    <n v="460"/>
    <n v="102.5"/>
    <n v="2500"/>
    <n v="11050"/>
    <n v="3183.4900000000011"/>
    <n v="683.49000000000115"/>
    <x v="0"/>
    <x v="0"/>
    <n v="12"/>
    <x v="0"/>
    <x v="4"/>
    <x v="0"/>
    <n v="28.809864253393673"/>
    <n v="6.185429864253404"/>
  </r>
  <r>
    <d v="2022-12-21T00:00:00"/>
    <n v="6487.8249999999989"/>
    <n v="6860"/>
    <n v="372.17500000000115"/>
    <n v="2472.5000000000005"/>
    <n v="4330"/>
    <n v="1857.4999999999995"/>
    <n v="169.66000000000003"/>
    <n v="1050"/>
    <n v="880.33999999999992"/>
    <n v="820.83333333333326"/>
    <n v="1070"/>
    <n v="249.16666666666671"/>
    <n v="2500"/>
    <n v="13310"/>
    <n v="3359.1816666666673"/>
    <n v="859.1816666666673"/>
    <x v="0"/>
    <x v="0"/>
    <n v="12"/>
    <x v="0"/>
    <x v="5"/>
    <x v="0"/>
    <n v="25.238029050838971"/>
    <n v="6.4551590282995281"/>
  </r>
  <r>
    <d v="2022-12-22T00:00:00"/>
    <n v="5583.74"/>
    <n v="6850"/>
    <n v="1266.2600000000002"/>
    <n v="1275.1499999999996"/>
    <n v="2520"/>
    <n v="1244.8500000000004"/>
    <n v="163.83000000000001"/>
    <n v="1050"/>
    <n v="886.17"/>
    <n v="854.16666666666652"/>
    <n v="1070"/>
    <n v="215.83333333333348"/>
    <n v="2500"/>
    <n v="11490"/>
    <n v="3613.1133333333346"/>
    <n v="1113.1133333333339"/>
    <x v="0"/>
    <x v="0"/>
    <n v="12"/>
    <x v="0"/>
    <x v="6"/>
    <x v="0"/>
    <n v="31.445720916739205"/>
    <n v="9.6876704380620868"/>
  </r>
  <r>
    <d v="2022-12-23T00:00:00"/>
    <n v="7674.625"/>
    <n v="9350"/>
    <n v="1675.375"/>
    <n v="2894"/>
    <n v="5460"/>
    <n v="2566"/>
    <n v="230"/>
    <n v="1330"/>
    <n v="1100"/>
    <n v="450"/>
    <n v="600"/>
    <n v="150"/>
    <n v="2500"/>
    <n v="16740"/>
    <n v="5491.375"/>
    <n v="2991.375"/>
    <x v="0"/>
    <x v="0"/>
    <n v="12"/>
    <x v="0"/>
    <x v="0"/>
    <x v="0"/>
    <n v="32.803912783751493"/>
    <n v="17.86962365591398"/>
  </r>
  <r>
    <d v="2022-12-24T00:00:00"/>
    <n v="8361.994999999999"/>
    <n v="10180"/>
    <n v="1818.005000000001"/>
    <n v="2616.0500000000002"/>
    <n v="4620"/>
    <n v="2003.95"/>
    <n v="424.15"/>
    <n v="1280"/>
    <n v="855.85"/>
    <n v="367.5"/>
    <n v="490"/>
    <n v="122.5"/>
    <n v="2500"/>
    <n v="16570"/>
    <n v="4800.3050000000012"/>
    <n v="2300.3050000000012"/>
    <x v="0"/>
    <x v="0"/>
    <n v="12"/>
    <x v="0"/>
    <x v="1"/>
    <x v="0"/>
    <n v="28.969855159927587"/>
    <n v="13.882347616173815"/>
  </r>
  <r>
    <d v="2022-12-25T00:00:00"/>
    <n v="8661.720000000003"/>
    <n v="8850"/>
    <n v="188.27999999999705"/>
    <n v="979.85"/>
    <n v="1680"/>
    <n v="700.15"/>
    <n v="385"/>
    <n v="1710"/>
    <n v="1325"/>
    <n v="612.5"/>
    <n v="820"/>
    <n v="207.5"/>
    <n v="2500"/>
    <n v="13060"/>
    <n v="2420.9299999999971"/>
    <n v="-79.070000000002892"/>
    <x v="0"/>
    <x v="0"/>
    <n v="12"/>
    <x v="0"/>
    <x v="2"/>
    <x v="1"/>
    <n v="18.536983154670729"/>
    <n v="-0.605436447166944"/>
  </r>
  <r>
    <d v="2022-12-26T00:00:00"/>
    <n v="7604.17"/>
    <n v="7640"/>
    <n v="35.829999999999927"/>
    <n v="2245.4499999999998"/>
    <n v="3990"/>
    <n v="1744.5500000000002"/>
    <n v="275.15000000000003"/>
    <n v="970"/>
    <n v="694.84999999999991"/>
    <n v="564.16666666666663"/>
    <n v="740"/>
    <n v="175.83333333333337"/>
    <n v="2100"/>
    <n v="13340"/>
    <n v="2651.0633333333335"/>
    <n v="551.0633333333335"/>
    <x v="0"/>
    <x v="0"/>
    <n v="12"/>
    <x v="0"/>
    <x v="3"/>
    <x v="0"/>
    <n v="19.873038480759622"/>
    <n v="4.1309095452273876"/>
  </r>
  <r>
    <d v="2022-12-27T00:00:00"/>
    <n v="7111.335"/>
    <n v="6810"/>
    <n v="-301.33500000000004"/>
    <n v="1130.6500000000001"/>
    <n v="2100"/>
    <n v="969.35000000000014"/>
    <n v="245"/>
    <n v="1330"/>
    <n v="1085"/>
    <n v="1186.6666666666663"/>
    <n v="1570"/>
    <n v="383.33333333333343"/>
    <n v="2100"/>
    <n v="11810"/>
    <n v="2136.3483333333338"/>
    <n v="36.348333333333358"/>
    <x v="0"/>
    <x v="0"/>
    <n v="12"/>
    <x v="0"/>
    <x v="4"/>
    <x v="0"/>
    <n v="18.089316963025688"/>
    <n v="0.30777589613322065"/>
  </r>
  <r>
    <d v="2022-12-28T00:00:00"/>
    <n v="6804.1849999999986"/>
    <n v="7980"/>
    <n v="1175.8150000000014"/>
    <n v="1055.7"/>
    <n v="2310"/>
    <n v="1254.3"/>
    <n v="258"/>
    <n v="720"/>
    <n v="462"/>
    <n v="494.16666666666663"/>
    <n v="670"/>
    <n v="175.83333333333337"/>
    <n v="2100"/>
    <n v="11680"/>
    <n v="3067.9483333333351"/>
    <n v="967.94833333333509"/>
    <x v="0"/>
    <x v="0"/>
    <n v="12"/>
    <x v="0"/>
    <x v="5"/>
    <x v="0"/>
    <n v="26.266680936073072"/>
    <n v="8.2872288812785531"/>
  </r>
  <r>
    <d v="2022-12-29T00:00:00"/>
    <n v="5412.44"/>
    <n v="8410"/>
    <n v="2997.5600000000004"/>
    <n v="1068.8499999999999"/>
    <n v="1470"/>
    <n v="401.14999999999986"/>
    <n v="174"/>
    <n v="860"/>
    <n v="686"/>
    <n v="453.33333333333337"/>
    <n v="670"/>
    <n v="216.66666666666663"/>
    <n v="2100"/>
    <n v="11410"/>
    <n v="4301.376666666667"/>
    <n v="2201.376666666667"/>
    <x v="0"/>
    <x v="0"/>
    <n v="12"/>
    <x v="0"/>
    <x v="6"/>
    <x v="0"/>
    <n v="37.698305579900676"/>
    <n v="19.29339760444055"/>
  </r>
  <r>
    <d v="2022-12-30T00:00:00"/>
    <n v="8308.27"/>
    <n v="7820"/>
    <n v="-488.27000000000049"/>
    <n v="952.45"/>
    <n v="1470"/>
    <n v="517.55000000000007"/>
    <n v="181.31999999999996"/>
    <n v="550"/>
    <n v="368.68000000000006"/>
    <n v="316.66666666666669"/>
    <n v="430"/>
    <n v="113.33333333333331"/>
    <n v="2100"/>
    <n v="10270"/>
    <n v="511.29333333333307"/>
    <n v="-1588.7066666666667"/>
    <x v="0"/>
    <x v="0"/>
    <n v="12"/>
    <x v="0"/>
    <x v="0"/>
    <x v="1"/>
    <n v="4.9785134696527074"/>
    <n v="-15.469393054203181"/>
  </r>
  <r>
    <d v="2022-12-31T00:00:00"/>
    <n v="6860.2300000000014"/>
    <n v="8835"/>
    <n v="1974.7699999999984"/>
    <n v="2586.7000000000003"/>
    <n v="5880"/>
    <n v="3293.2999999999997"/>
    <n v="303.83000000000004"/>
    <n v="1580"/>
    <n v="1276.17"/>
    <n v="559.16666666666663"/>
    <n v="760"/>
    <n v="200.83333333333337"/>
    <n v="2100"/>
    <n v="17055"/>
    <n v="6745.073333333331"/>
    <n v="4645.073333333331"/>
    <x v="0"/>
    <x v="0"/>
    <n v="12"/>
    <x v="0"/>
    <x v="1"/>
    <x v="0"/>
    <n v="39.548949477181658"/>
    <n v="27.235844815792031"/>
  </r>
  <r>
    <d v="2023-01-01T00:00:00"/>
    <n v="7314.2470000000003"/>
    <n v="10130"/>
    <n v="2815.7530000000006"/>
    <n v="1446.35"/>
    <n v="2730"/>
    <n v="1283.6500000000001"/>
    <n v="118"/>
    <n v="370"/>
    <n v="252"/>
    <n v="408.33333333333337"/>
    <n v="520"/>
    <n v="111.66666666666664"/>
    <n v="2100"/>
    <n v="13750"/>
    <n v="4463.0696666666672"/>
    <n v="2363.0696666666672"/>
    <x v="1"/>
    <x v="1"/>
    <n v="1"/>
    <x v="1"/>
    <x v="2"/>
    <x v="0"/>
    <n v="32.458688484848494"/>
    <n v="17.185961212121217"/>
  </r>
  <r>
    <d v="2023-01-02T00:00:00"/>
    <n v="7365.0879999999997"/>
    <n v="9800"/>
    <n v="2434.9119999999994"/>
    <n v="2228.8249999999998"/>
    <n v="3990"/>
    <n v="1761.1750000000002"/>
    <n v="232.49"/>
    <n v="500"/>
    <n v="267.51"/>
    <n v="810.83333333333326"/>
    <n v="1010"/>
    <n v="199.16666666666671"/>
    <n v="2100"/>
    <n v="15300"/>
    <n v="4662.7636666666667"/>
    <n v="2562.7636666666667"/>
    <x v="1"/>
    <x v="1"/>
    <n v="1"/>
    <x v="1"/>
    <x v="3"/>
    <x v="0"/>
    <n v="30.475579520697167"/>
    <n v="16.750089324618735"/>
  </r>
  <r>
    <d v="2023-01-03T00:00:00"/>
    <n v="6225.1050000000005"/>
    <n v="8020"/>
    <n v="1794.8949999999995"/>
    <n v="790.57500000000005"/>
    <n v="840"/>
    <n v="49.424999999999955"/>
    <n v="367.49"/>
    <n v="1390"/>
    <n v="1022.51"/>
    <n v="490.83333333333326"/>
    <n v="600"/>
    <n v="109.16666666666669"/>
    <n v="2500"/>
    <n v="10850"/>
    <n v="2975.9966666666664"/>
    <n v="475.99666666666639"/>
    <x v="1"/>
    <x v="1"/>
    <n v="1"/>
    <x v="1"/>
    <x v="4"/>
    <x v="0"/>
    <n v="27.428540706605219"/>
    <n v="4.3870660522273397"/>
  </r>
  <r>
    <d v="2023-01-04T00:00:00"/>
    <n v="5817.6450000000004"/>
    <n v="10030"/>
    <n v="4212.3549999999996"/>
    <n v="2348.7249999999999"/>
    <n v="3990"/>
    <n v="1641.2750000000001"/>
    <n v="314"/>
    <n v="1210"/>
    <n v="896"/>
    <n v="530.83333333333337"/>
    <n v="660"/>
    <n v="129.16666666666663"/>
    <n v="2500"/>
    <n v="15890"/>
    <n v="6878.7966666666662"/>
    <n v="4378.7966666666662"/>
    <x v="1"/>
    <x v="1"/>
    <n v="1"/>
    <x v="1"/>
    <x v="5"/>
    <x v="0"/>
    <n v="43.290098594503881"/>
    <n v="27.556933081602679"/>
  </r>
  <r>
    <d v="2023-01-05T00:00:00"/>
    <n v="5741.0699999999988"/>
    <n v="6975"/>
    <n v="1233.9300000000012"/>
    <n v="3265.3999999999996"/>
    <n v="5670"/>
    <n v="2404.6000000000004"/>
    <n v="321.66000000000003"/>
    <n v="1440"/>
    <n v="1118.3399999999999"/>
    <n v="510.00000000000006"/>
    <n v="630"/>
    <n v="119.99999999999994"/>
    <n v="2500"/>
    <n v="14715"/>
    <n v="4876.8700000000017"/>
    <n v="2376.8700000000017"/>
    <x v="1"/>
    <x v="1"/>
    <n v="1"/>
    <x v="1"/>
    <x v="6"/>
    <x v="0"/>
    <n v="33.14216785592933"/>
    <n v="16.152701325178402"/>
  </r>
  <r>
    <d v="2023-01-06T00:00:00"/>
    <n v="6172.9800000000014"/>
    <n v="9340"/>
    <n v="3167.0199999999986"/>
    <n v="2287.5999999999995"/>
    <n v="3090"/>
    <n v="802.40000000000043"/>
    <n v="322"/>
    <n v="1770"/>
    <n v="1448"/>
    <n v="729.16666666666674"/>
    <n v="910"/>
    <n v="180.83333333333329"/>
    <n v="2500"/>
    <n v="15110"/>
    <n v="5598.2533333333322"/>
    <n v="3098.2533333333322"/>
    <x v="1"/>
    <x v="1"/>
    <n v="1"/>
    <x v="1"/>
    <x v="0"/>
    <x v="0"/>
    <n v="37.049988969777182"/>
    <n v="20.504654754026024"/>
  </r>
  <r>
    <d v="2023-01-07T00:00:00"/>
    <n v="7421.8499999999967"/>
    <n v="10400"/>
    <n v="2978.1500000000024"/>
    <n v="3412.1499999999996"/>
    <n v="5820"/>
    <n v="2407.8500000000004"/>
    <n v="202"/>
    <n v="980"/>
    <n v="778"/>
    <n v="810"/>
    <n v="1000"/>
    <n v="190"/>
    <n v="2500"/>
    <n v="18200"/>
    <n v="6354.0000000000027"/>
    <n v="3854.0000000000023"/>
    <x v="1"/>
    <x v="1"/>
    <n v="1"/>
    <x v="1"/>
    <x v="1"/>
    <x v="0"/>
    <n v="34.912087912087927"/>
    <n v="21.175824175824186"/>
  </r>
  <r>
    <d v="2023-01-08T00:00:00"/>
    <n v="5358.5650000000014"/>
    <n v="8580"/>
    <n v="3221.4349999999986"/>
    <n v="2638.2"/>
    <n v="4350"/>
    <n v="1711.8000000000002"/>
    <n v="294.81000000000006"/>
    <n v="970"/>
    <n v="675.18999999999994"/>
    <n v="884.99999999999989"/>
    <n v="1100"/>
    <n v="215.00000000000011"/>
    <n v="2500"/>
    <n v="15000"/>
    <n v="5823.4249999999984"/>
    <n v="3323.4249999999984"/>
    <x v="1"/>
    <x v="1"/>
    <n v="1"/>
    <x v="1"/>
    <x v="2"/>
    <x v="0"/>
    <n v="38.822833333333321"/>
    <n v="22.156166666666653"/>
  </r>
  <r>
    <d v="2023-01-09T00:00:00"/>
    <n v="5144.9779999999992"/>
    <n v="6040"/>
    <n v="895.02200000000084"/>
    <n v="2063.15"/>
    <n v="3510"/>
    <n v="1446.85"/>
    <n v="90"/>
    <n v="250"/>
    <n v="160"/>
    <n v="374.16666666666674"/>
    <n v="470"/>
    <n v="95.833333333333314"/>
    <n v="2500"/>
    <n v="10270"/>
    <n v="2597.7053333333342"/>
    <n v="97.705333333334238"/>
    <x v="1"/>
    <x v="1"/>
    <n v="1"/>
    <x v="1"/>
    <x v="3"/>
    <x v="0"/>
    <n v="25.294112301200915"/>
    <n v="0.95136643946771415"/>
  </r>
  <r>
    <d v="2023-01-10T00:00:00"/>
    <n v="6131.4420000000018"/>
    <n v="9070"/>
    <n v="2938.5579999999982"/>
    <n v="2943.45"/>
    <n v="5250"/>
    <n v="2306.5500000000002"/>
    <n v="350.99599999999998"/>
    <n v="720"/>
    <n v="369.00400000000002"/>
    <n v="695"/>
    <n v="860"/>
    <n v="165"/>
    <n v="2500"/>
    <n v="15900"/>
    <n v="5779.1119999999983"/>
    <n v="3279.1119999999983"/>
    <x v="1"/>
    <x v="1"/>
    <n v="1"/>
    <x v="1"/>
    <x v="4"/>
    <x v="0"/>
    <n v="36.346616352201245"/>
    <n v="20.623345911949677"/>
  </r>
  <r>
    <d v="2023-01-11T00:00:00"/>
    <n v="4741.4029999999984"/>
    <n v="7030"/>
    <n v="2288.5970000000016"/>
    <n v="1042"/>
    <n v="1050"/>
    <n v="8"/>
    <n v="158"/>
    <n v="920"/>
    <n v="762"/>
    <n v="231.66666666666669"/>
    <n v="290"/>
    <n v="58.333333333333314"/>
    <n v="2500"/>
    <n v="9290"/>
    <n v="3116.9303333333351"/>
    <n v="616.93033333333506"/>
    <x v="1"/>
    <x v="1"/>
    <n v="1"/>
    <x v="1"/>
    <x v="5"/>
    <x v="0"/>
    <n v="33.551456763545048"/>
    <n v="6.6408001435235207"/>
  </r>
  <r>
    <d v="2023-01-12T00:00:00"/>
    <n v="5156.2999999999993"/>
    <n v="7010"/>
    <n v="1853.7000000000007"/>
    <n v="1793.4499999999996"/>
    <n v="2520"/>
    <n v="726.55000000000052"/>
    <n v="410.32400000000001"/>
    <n v="1080"/>
    <n v="669.67599999999993"/>
    <n v="585.83333333333337"/>
    <n v="720"/>
    <n v="134.16666666666663"/>
    <n v="2500"/>
    <n v="11330"/>
    <n v="3384.0926666666674"/>
    <n v="884.09266666666736"/>
    <x v="1"/>
    <x v="1"/>
    <n v="1"/>
    <x v="1"/>
    <x v="6"/>
    <x v="0"/>
    <n v="29.868426007649312"/>
    <n v="7.8031126802000657"/>
  </r>
  <r>
    <d v="2023-01-13T00:00:00"/>
    <n v="4555.5209999999997"/>
    <n v="5760"/>
    <n v="1204.4790000000005"/>
    <n v="1930.55"/>
    <n v="2730"/>
    <n v="799.45"/>
    <n v="58"/>
    <n v="370"/>
    <n v="312"/>
    <n v="197.5"/>
    <n v="240"/>
    <n v="42.5"/>
    <n v="2500"/>
    <n v="9100"/>
    <n v="2358.4290000000001"/>
    <n v="-141.57099999999991"/>
    <x v="1"/>
    <x v="1"/>
    <n v="1"/>
    <x v="1"/>
    <x v="0"/>
    <x v="1"/>
    <n v="25.916802197802198"/>
    <n v="-1.5557252747252737"/>
  </r>
  <r>
    <d v="2023-01-14T00:00:00"/>
    <n v="4412.7340000000022"/>
    <n v="7750"/>
    <n v="3337.2659999999978"/>
    <n v="2063.2399999999998"/>
    <n v="3360"/>
    <n v="1296.7599999999998"/>
    <n v="90"/>
    <n v="250"/>
    <n v="160"/>
    <n v="470"/>
    <n v="590"/>
    <n v="120"/>
    <n v="2500"/>
    <n v="11950"/>
    <n v="4914.025999999998"/>
    <n v="2414.025999999998"/>
    <x v="1"/>
    <x v="1"/>
    <n v="1"/>
    <x v="1"/>
    <x v="1"/>
    <x v="0"/>
    <n v="41.121556485355633"/>
    <n v="20.201054393305423"/>
  </r>
  <r>
    <d v="2023-01-15T00:00:00"/>
    <n v="5717.5509999999995"/>
    <n v="8070"/>
    <n v="2352.4490000000005"/>
    <n v="980.46"/>
    <n v="1680"/>
    <n v="699.54000000000008"/>
    <n v="276.83000000000004"/>
    <n v="990"/>
    <n v="713.17"/>
    <n v="251.66666666666669"/>
    <n v="330"/>
    <n v="78.333333333333314"/>
    <n v="2500"/>
    <n v="11070"/>
    <n v="3843.492333333334"/>
    <n v="1343.492333333334"/>
    <x v="1"/>
    <x v="1"/>
    <n v="1"/>
    <x v="1"/>
    <x v="2"/>
    <x v="0"/>
    <n v="34.719894610057217"/>
    <n v="12.136335441132196"/>
  </r>
  <r>
    <d v="2023-01-16T00:00:00"/>
    <n v="4671.5300000000016"/>
    <n v="8010"/>
    <n v="3338.4699999999984"/>
    <n v="1973.64"/>
    <n v="3360"/>
    <n v="1386.36"/>
    <n v="271.66000000000003"/>
    <n v="800"/>
    <n v="528.33999999999992"/>
    <n v="919.16666666666652"/>
    <n v="990"/>
    <n v="70.833333333333371"/>
    <n v="2500"/>
    <n v="13160"/>
    <n v="5324.0033333333313"/>
    <n v="2824.0033333333313"/>
    <x v="1"/>
    <x v="1"/>
    <n v="1"/>
    <x v="1"/>
    <x v="3"/>
    <x v="0"/>
    <n v="40.455952380952368"/>
    <n v="21.458991894630177"/>
  </r>
  <r>
    <d v="2023-01-17T00:00:00"/>
    <n v="4893.8"/>
    <n v="7000"/>
    <n v="2106.1999999999998"/>
    <n v="1371.85"/>
    <n v="2520"/>
    <n v="1148.1500000000001"/>
    <n v="202"/>
    <n v="960"/>
    <n v="758"/>
    <n v="421.66666666666674"/>
    <n v="520"/>
    <n v="98.333333333333314"/>
    <n v="2500"/>
    <n v="11000"/>
    <n v="4110.6833333333334"/>
    <n v="1610.6833333333334"/>
    <x v="1"/>
    <x v="1"/>
    <n v="1"/>
    <x v="1"/>
    <x v="4"/>
    <x v="0"/>
    <n v="37.369848484848482"/>
    <n v="14.642575757575758"/>
  </r>
  <r>
    <d v="2023-01-18T00:00:00"/>
    <n v="5484.4500000000007"/>
    <n v="6110"/>
    <n v="625.54999999999927"/>
    <n v="1698.4599999999998"/>
    <n v="2730"/>
    <n v="1031.5400000000002"/>
    <n v="174"/>
    <n v="1110"/>
    <n v="936"/>
    <n v="899.16666666666674"/>
    <n v="1110"/>
    <n v="210.83333333333329"/>
    <n v="2500"/>
    <n v="11060"/>
    <n v="2803.9233333333323"/>
    <n v="303.92333333333227"/>
    <x v="1"/>
    <x v="1"/>
    <n v="1"/>
    <x v="1"/>
    <x v="5"/>
    <x v="0"/>
    <n v="25.351928872814938"/>
    <n v="2.7479505726341071"/>
  </r>
  <r>
    <d v="2023-01-19T00:00:00"/>
    <n v="3932.0000000000009"/>
    <n v="7240"/>
    <n v="3307.9999999999995"/>
    <n v="2565.6"/>
    <n v="4620"/>
    <n v="2054.4"/>
    <n v="179.5"/>
    <n v="730"/>
    <n v="550.5"/>
    <n v="496.66666666666674"/>
    <n v="610"/>
    <n v="113.33333333333331"/>
    <n v="2500"/>
    <n v="13200"/>
    <n v="6026.2333333333327"/>
    <n v="3526.2333333333327"/>
    <x v="1"/>
    <x v="1"/>
    <n v="1"/>
    <x v="1"/>
    <x v="6"/>
    <x v="0"/>
    <n v="45.653282828282819"/>
    <n v="26.713888888888881"/>
  </r>
  <r>
    <d v="2023-01-20T00:00:00"/>
    <n v="5360.0399999999991"/>
    <n v="8285"/>
    <n v="2924.9600000000009"/>
    <n v="2823.6"/>
    <n v="4410"/>
    <n v="1586.4"/>
    <n v="367.15999999999997"/>
    <n v="1510"/>
    <n v="1142.8400000000001"/>
    <n v="653.33333333333337"/>
    <n v="820"/>
    <n v="166.66666666666663"/>
    <n v="2500"/>
    <n v="15025"/>
    <n v="5820.8666666666677"/>
    <n v="3320.8666666666677"/>
    <x v="1"/>
    <x v="1"/>
    <n v="1"/>
    <x v="1"/>
    <x v="0"/>
    <x v="0"/>
    <n v="38.741209095951199"/>
    <n v="22.102273987798121"/>
  </r>
  <r>
    <d v="2023-01-21T00:00:00"/>
    <n v="4639.0300000000016"/>
    <n v="5910"/>
    <n v="1270.9699999999984"/>
    <n v="1596.9499999999996"/>
    <n v="2520"/>
    <n v="923.05000000000052"/>
    <n v="280.5"/>
    <n v="770"/>
    <n v="489.5"/>
    <n v="400.83333333333337"/>
    <n v="500"/>
    <n v="99.166666666666629"/>
    <n v="2500"/>
    <n v="9700"/>
    <n v="2782.6866666666651"/>
    <n v="282.68666666666513"/>
    <x v="1"/>
    <x v="1"/>
    <n v="1"/>
    <x v="1"/>
    <x v="1"/>
    <x v="0"/>
    <n v="28.68749140893469"/>
    <n v="2.9142955326460322"/>
  </r>
  <r>
    <d v="2023-01-22T00:00:00"/>
    <n v="5437.3449999999993"/>
    <n v="7150"/>
    <n v="1712.6550000000009"/>
    <n v="1062.5500000000002"/>
    <n v="1680"/>
    <n v="617.44999999999982"/>
    <n v="271.66000000000003"/>
    <n v="550"/>
    <n v="278.33999999999997"/>
    <n v="612.5"/>
    <n v="760"/>
    <n v="147.5"/>
    <n v="2500"/>
    <n v="10140"/>
    <n v="2755.9450000000006"/>
    <n v="255.94500000000065"/>
    <x v="1"/>
    <x v="1"/>
    <n v="1"/>
    <x v="1"/>
    <x v="2"/>
    <x v="0"/>
    <n v="27.178944773175552"/>
    <n v="2.5241124260355092"/>
  </r>
  <r>
    <d v="2023-01-23T00:00:00"/>
    <n v="4562.2700000000004"/>
    <n v="6700"/>
    <n v="2137.7299999999996"/>
    <n v="200.99999999999983"/>
    <n v="420"/>
    <n v="219.00000000000017"/>
    <n v="174"/>
    <n v="610"/>
    <n v="436"/>
    <n v="190.83333333333337"/>
    <n v="230"/>
    <n v="39.166666666666657"/>
    <n v="2500"/>
    <n v="7960"/>
    <n v="2831.8966666666661"/>
    <n v="331.89666666666608"/>
    <x v="1"/>
    <x v="1"/>
    <n v="1"/>
    <x v="1"/>
    <x v="3"/>
    <x v="0"/>
    <n v="35.576591289782236"/>
    <n v="4.1695561139028401"/>
  </r>
  <r>
    <d v="2023-01-24T00:00:00"/>
    <n v="4039.37"/>
    <n v="6990"/>
    <n v="2950.6299999999997"/>
    <n v="1640.55"/>
    <n v="2520"/>
    <n v="879.45"/>
    <n v="146"/>
    <n v="490"/>
    <n v="344"/>
    <n v="441.66666666666674"/>
    <n v="550"/>
    <n v="108.33333333333331"/>
    <n v="2500"/>
    <n v="10550"/>
    <n v="4282.413333333333"/>
    <n v="1782.413333333333"/>
    <x v="1"/>
    <x v="1"/>
    <n v="1"/>
    <x v="1"/>
    <x v="4"/>
    <x v="0"/>
    <n v="40.59159557661927"/>
    <n v="16.894913112164296"/>
  </r>
  <r>
    <d v="2023-01-25T00:00:00"/>
    <n v="4935.4549999999999"/>
    <n v="7680"/>
    <n v="2744.5450000000001"/>
    <n v="2101.35"/>
    <n v="1660"/>
    <n v="-441.34999999999991"/>
    <n v="202"/>
    <n v="980"/>
    <n v="778"/>
    <n v="504.16666666666674"/>
    <n v="630"/>
    <n v="125.83333333333331"/>
    <n v="2500"/>
    <n v="10950"/>
    <n v="3207.0283333333336"/>
    <n v="707.02833333333365"/>
    <x v="1"/>
    <x v="1"/>
    <n v="1"/>
    <x v="1"/>
    <x v="5"/>
    <x v="0"/>
    <n v="29.287929984779304"/>
    <n v="6.4568797564688003"/>
  </r>
  <r>
    <d v="2023-01-26T00:00:00"/>
    <n v="5320.2149999999983"/>
    <n v="6840"/>
    <n v="1519.7850000000017"/>
    <n v="2082.8000000000002"/>
    <n v="3570"/>
    <n v="1487.1999999999998"/>
    <n v="163"/>
    <n v="420"/>
    <n v="257"/>
    <n v="571.66666666666663"/>
    <n v="720"/>
    <n v="148.33333333333337"/>
    <n v="2500"/>
    <n v="11550"/>
    <n v="3412.318333333335"/>
    <n v="912.31833333333509"/>
    <x v="1"/>
    <x v="1"/>
    <n v="1"/>
    <x v="1"/>
    <x v="6"/>
    <x v="0"/>
    <n v="29.543881673881689"/>
    <n v="7.8988600288600441"/>
  </r>
  <r>
    <d v="2023-01-27T00:00:00"/>
    <n v="6015.9100000000017"/>
    <n v="7720"/>
    <n v="1704.0899999999983"/>
    <n v="1784.7"/>
    <n v="2730"/>
    <n v="945.3"/>
    <n v="236.83"/>
    <n v="470"/>
    <n v="233.17"/>
    <n v="469.16666666666674"/>
    <n v="580"/>
    <n v="110.83333333333331"/>
    <n v="2500"/>
    <n v="11500"/>
    <n v="2993.3933333333321"/>
    <n v="493.39333333333207"/>
    <x v="1"/>
    <x v="1"/>
    <n v="1"/>
    <x v="1"/>
    <x v="0"/>
    <x v="0"/>
    <n v="26.029507246376799"/>
    <n v="4.290376811594192"/>
  </r>
  <r>
    <d v="2023-01-28T00:00:00"/>
    <n v="4765.75"/>
    <n v="6200"/>
    <n v="1434.25"/>
    <n v="896.25000000000011"/>
    <n v="1470"/>
    <n v="573.74999999999989"/>
    <n v="174"/>
    <n v="610"/>
    <n v="436"/>
    <n v="483.33333333333337"/>
    <n v="590"/>
    <n v="106.66666666666664"/>
    <n v="2500"/>
    <n v="8870"/>
    <n v="2550.6666666666665"/>
    <n v="50.666666666666515"/>
    <x v="1"/>
    <x v="1"/>
    <n v="1"/>
    <x v="1"/>
    <x v="1"/>
    <x v="0"/>
    <n v="28.756106726794439"/>
    <n v="0.57121382938744658"/>
  </r>
  <r>
    <d v="2023-01-29T00:00:00"/>
    <n v="4915.5150000000012"/>
    <n v="5710"/>
    <n v="794.48499999999876"/>
    <n v="2027.7"/>
    <n v="3090"/>
    <n v="1062.3"/>
    <n v="270"/>
    <n v="970"/>
    <n v="700"/>
    <n v="530.83333333333337"/>
    <n v="650"/>
    <n v="119.16666666666664"/>
    <n v="2500"/>
    <n v="10420"/>
    <n v="2675.9516666666655"/>
    <n v="175.95166666666546"/>
    <x v="1"/>
    <x v="1"/>
    <n v="1"/>
    <x v="1"/>
    <x v="2"/>
    <x v="0"/>
    <n v="25.680918106206001"/>
    <n v="1.6885956493921828"/>
  </r>
  <r>
    <d v="2023-01-30T00:00:00"/>
    <n v="4829.9449999999988"/>
    <n v="6090"/>
    <n v="1260.0550000000012"/>
    <n v="564.19999999999993"/>
    <n v="990"/>
    <n v="425.80000000000007"/>
    <n v="230"/>
    <n v="600"/>
    <n v="370"/>
    <n v="640"/>
    <n v="780"/>
    <n v="140"/>
    <n v="2500"/>
    <n v="8460"/>
    <n v="2195.8550000000014"/>
    <n v="-304.14499999999862"/>
    <x v="1"/>
    <x v="1"/>
    <n v="1"/>
    <x v="1"/>
    <x v="3"/>
    <x v="1"/>
    <n v="25.955732860520108"/>
    <n v="-3.5950945626477373"/>
  </r>
  <r>
    <d v="2023-01-31T00:00:00"/>
    <n v="3531.7750000000001"/>
    <n v="4780"/>
    <n v="1248.2249999999999"/>
    <n v="881.10000000000036"/>
    <n v="840"/>
    <n v="-41.10000000000025"/>
    <n v="174"/>
    <n v="500"/>
    <n v="326"/>
    <n v="606.66666666666674"/>
    <n v="750"/>
    <n v="143.33333333333326"/>
    <n v="2500"/>
    <n v="6870"/>
    <n v="1676.4583333333328"/>
    <n v="-823.5416666666672"/>
    <x v="1"/>
    <x v="1"/>
    <n v="1"/>
    <x v="1"/>
    <x v="4"/>
    <x v="1"/>
    <n v="24.402595827268307"/>
    <n v="-11.987506065016989"/>
  </r>
  <r>
    <d v="2023-02-01T00:00:00"/>
    <n v="3582.9830000000002"/>
    <n v="5260"/>
    <n v="1677.0169999999998"/>
    <n v="1216.6500000000001"/>
    <n v="2100"/>
    <n v="883.3499999999998"/>
    <n v="219.83"/>
    <n v="790"/>
    <n v="570.16999999999996"/>
    <n v="305.83333333333337"/>
    <n v="380"/>
    <n v="74.166666666666629"/>
    <n v="2500"/>
    <n v="8530"/>
    <n v="3204.7036666666663"/>
    <n v="704.70366666666632"/>
    <x v="1"/>
    <x v="2"/>
    <n v="2"/>
    <x v="1"/>
    <x v="5"/>
    <x v="0"/>
    <n v="37.569796795623283"/>
    <n v="8.2614732317311415"/>
  </r>
  <r>
    <d v="2023-02-02T00:00:00"/>
    <n v="5006.5870000000014"/>
    <n v="6600"/>
    <n v="1593.4129999999986"/>
    <n v="2322.6499999999996"/>
    <n v="2940"/>
    <n v="617.35000000000036"/>
    <n v="337"/>
    <n v="830"/>
    <n v="493"/>
    <n v="770"/>
    <n v="950"/>
    <n v="180"/>
    <n v="2500"/>
    <n v="11320"/>
    <n v="2883.762999999999"/>
    <n v="383.76299999999907"/>
    <x v="1"/>
    <x v="2"/>
    <n v="2"/>
    <x v="1"/>
    <x v="6"/>
    <x v="0"/>
    <n v="25.474938162544159"/>
    <n v="3.3901325088339136"/>
  </r>
  <r>
    <d v="2023-02-03T00:00:00"/>
    <n v="4875.665"/>
    <n v="6880"/>
    <n v="2004.335"/>
    <n v="2310.6999999999994"/>
    <n v="4620"/>
    <n v="2309.3000000000006"/>
    <n v="174"/>
    <n v="340"/>
    <n v="166"/>
    <n v="490.00000000000006"/>
    <n v="630"/>
    <n v="139.99999999999994"/>
    <n v="2500"/>
    <n v="12470"/>
    <n v="4619.6350000000002"/>
    <n v="2119.6350000000002"/>
    <x v="1"/>
    <x v="2"/>
    <n v="2"/>
    <x v="1"/>
    <x v="0"/>
    <x v="0"/>
    <n v="37.045990376904577"/>
    <n v="16.997874899759424"/>
  </r>
  <r>
    <d v="2023-02-06T00:00:00"/>
    <n v="4632.8"/>
    <n v="5680"/>
    <n v="1047.1999999999998"/>
    <n v="1395"/>
    <n v="2520"/>
    <n v="1125"/>
    <n v="191.83"/>
    <n v="660"/>
    <n v="468.16999999999996"/>
    <n v="660"/>
    <n v="850"/>
    <n v="190"/>
    <n v="2500"/>
    <n v="9710"/>
    <n v="2830.37"/>
    <n v="330.36999999999989"/>
    <x v="1"/>
    <x v="2"/>
    <n v="2"/>
    <x v="1"/>
    <x v="3"/>
    <x v="0"/>
    <n v="29.149021627188464"/>
    <n v="3.4023686920700298"/>
  </r>
  <r>
    <d v="2023-02-07T00:00:00"/>
    <n v="5064.3899999999994"/>
    <n v="5260"/>
    <n v="195.61000000000055"/>
    <n v="2680.6000000000004"/>
    <n v="4410"/>
    <n v="1729.3999999999996"/>
    <n v="326.66000000000003"/>
    <n v="1340"/>
    <n v="1013.3399999999999"/>
    <n v="568.33333333333326"/>
    <n v="730"/>
    <n v="161.66666666666674"/>
    <n v="2500"/>
    <n v="11740"/>
    <n v="3100.0166666666673"/>
    <n v="600.01666666666733"/>
    <x v="1"/>
    <x v="2"/>
    <n v="2"/>
    <x v="1"/>
    <x v="4"/>
    <x v="0"/>
    <n v="26.405593412833621"/>
    <n v="5.110874503123231"/>
  </r>
  <r>
    <d v="2023-02-08T00:00:00"/>
    <n v="5024.1850000000004"/>
    <n v="6970"/>
    <n v="1945.8149999999996"/>
    <n v="2205.8999999999996"/>
    <n v="4600"/>
    <n v="2394.1000000000004"/>
    <n v="186"/>
    <n v="420"/>
    <n v="234"/>
    <n v="460"/>
    <n v="600"/>
    <n v="140"/>
    <n v="2500"/>
    <n v="12590"/>
    <n v="4713.915"/>
    <n v="2213.915"/>
    <x v="1"/>
    <x v="2"/>
    <n v="2"/>
    <x v="1"/>
    <x v="5"/>
    <x v="0"/>
    <n v="37.441739475774419"/>
    <n v="17.584710087370929"/>
  </r>
  <r>
    <d v="2023-02-09T00:00:00"/>
    <n v="5560.2219999999998"/>
    <n v="6390"/>
    <n v="829.77800000000036"/>
    <n v="1262.25"/>
    <n v="1610"/>
    <n v="347.75"/>
    <n v="90"/>
    <n v="1500"/>
    <n v="1410"/>
    <n v="606.66666666666663"/>
    <n v="750"/>
    <n v="143.33333333333337"/>
    <n v="2500"/>
    <n v="10250"/>
    <n v="2730.8613333333337"/>
    <n v="230.86133333333373"/>
    <x v="1"/>
    <x v="2"/>
    <n v="2"/>
    <x v="1"/>
    <x v="6"/>
    <x v="0"/>
    <n v="26.642549593495939"/>
    <n v="2.2523056910569146"/>
  </r>
  <r>
    <d v="2023-02-10T00:00:00"/>
    <n v="4927.3980000000001"/>
    <n v="6420"/>
    <n v="1492.6020000000001"/>
    <n v="1559.3100000000002"/>
    <n v="2070"/>
    <n v="510.68999999999983"/>
    <n v="90"/>
    <n v="750"/>
    <n v="660"/>
    <n v="823.33333333333348"/>
    <n v="1010"/>
    <n v="186.66666666666663"/>
    <n v="2500"/>
    <n v="10250"/>
    <n v="2849.958666666666"/>
    <n v="349.95866666666598"/>
    <x v="1"/>
    <x v="2"/>
    <n v="2"/>
    <x v="1"/>
    <x v="0"/>
    <x v="0"/>
    <n v="27.804474796747964"/>
    <n v="3.4142308943089366"/>
  </r>
  <r>
    <d v="2023-02-11T00:00:00"/>
    <n v="4971.37"/>
    <n v="5740"/>
    <n v="768.63000000000011"/>
    <n v="2354.7799999999997"/>
    <n v="5060"/>
    <n v="2705.2200000000003"/>
    <n v="146"/>
    <n v="840"/>
    <n v="694"/>
    <n v="773.33333333333326"/>
    <n v="1000"/>
    <n v="226.66666666666671"/>
    <n v="2500"/>
    <n v="12640"/>
    <n v="4394.5166666666673"/>
    <n v="1894.5166666666671"/>
    <x v="1"/>
    <x v="2"/>
    <n v="2"/>
    <x v="1"/>
    <x v="1"/>
    <x v="0"/>
    <n v="34.766745780590725"/>
    <n v="14.988264767932494"/>
  </r>
  <r>
    <d v="2023-02-12T00:00:00"/>
    <n v="4268.6699999999992"/>
    <n v="5330"/>
    <n v="1061.3300000000008"/>
    <n v="2169.0700000000002"/>
    <n v="3210"/>
    <n v="1040.9299999999998"/>
    <n v="366.83000000000004"/>
    <n v="3140"/>
    <n v="2773.17"/>
    <n v="540"/>
    <n v="700"/>
    <n v="160"/>
    <n v="2500"/>
    <n v="12380"/>
    <n v="5035.43"/>
    <n v="2535.4300000000003"/>
    <x v="1"/>
    <x v="2"/>
    <n v="2"/>
    <x v="1"/>
    <x v="2"/>
    <x v="0"/>
    <n v="40.673909531502431"/>
    <n v="20.480048465266563"/>
  </r>
  <r>
    <d v="2023-02-13T00:00:00"/>
    <n v="4849.1200000000008"/>
    <n v="4965"/>
    <n v="115.8799999999992"/>
    <n v="809.3000000000003"/>
    <n v="1250"/>
    <n v="440.6999999999997"/>
    <n v="394.66"/>
    <n v="1500"/>
    <n v="1105.3399999999999"/>
    <n v="606.66666666666663"/>
    <n v="800"/>
    <n v="193.33333333333337"/>
    <n v="2500"/>
    <n v="8515"/>
    <n v="1855.253333333332"/>
    <n v="-644.74666666666781"/>
    <x v="1"/>
    <x v="2"/>
    <n v="2"/>
    <x v="1"/>
    <x v="3"/>
    <x v="1"/>
    <n v="21.788060285770193"/>
    <n v="-7.5718927383049657"/>
  </r>
  <r>
    <d v="2023-02-14T00:00:00"/>
    <n v="3762.5399999999991"/>
    <n v="6140"/>
    <n v="2377.4600000000009"/>
    <n v="1332.43"/>
    <n v="2250"/>
    <n v="917.57"/>
    <n v="329.45"/>
    <n v="750"/>
    <n v="420.55"/>
    <n v="283.33333333333337"/>
    <n v="360"/>
    <n v="76.666666666666629"/>
    <n v="2500"/>
    <n v="9500"/>
    <n v="3792.2466666666674"/>
    <n v="1292.2466666666674"/>
    <x v="1"/>
    <x v="2"/>
    <n v="2"/>
    <x v="1"/>
    <x v="4"/>
    <x v="0"/>
    <n v="39.918385964912289"/>
    <n v="13.602596491228077"/>
  </r>
  <r>
    <d v="2023-02-15T00:00:00"/>
    <n v="4468.8750000000018"/>
    <n v="5340"/>
    <n v="871.12499999999829"/>
    <n v="1325.55"/>
    <n v="3000"/>
    <n v="1674.45"/>
    <n v="90"/>
    <n v="0"/>
    <n v="-90"/>
    <n v="426.66666666666663"/>
    <n v="550"/>
    <n v="123.33333333333336"/>
    <n v="2500"/>
    <n v="8890"/>
    <n v="2578.9083333333315"/>
    <n v="78.908333333331484"/>
    <x v="1"/>
    <x v="2"/>
    <n v="2"/>
    <x v="1"/>
    <x v="5"/>
    <x v="0"/>
    <n v="29.009092613423306"/>
    <n v="0.88760779902510112"/>
  </r>
  <r>
    <d v="2023-02-16T00:00:00"/>
    <n v="4813.4049999999988"/>
    <n v="6490"/>
    <n v="1676.5950000000012"/>
    <n v="1148.0999999999999"/>
    <n v="2500"/>
    <n v="1351.9"/>
    <n v="174"/>
    <n v="450"/>
    <n v="276"/>
    <n v="733.33333333333326"/>
    <n v="950"/>
    <n v="216.66666666666671"/>
    <n v="2500"/>
    <n v="10390"/>
    <n v="3521.1616666666682"/>
    <n v="1021.1616666666678"/>
    <x v="1"/>
    <x v="2"/>
    <n v="2"/>
    <x v="1"/>
    <x v="6"/>
    <x v="0"/>
    <n v="33.8899101700353"/>
    <n v="9.8283124799486803"/>
  </r>
  <r>
    <d v="2023-02-17T00:00:00"/>
    <n v="3913.3449999999984"/>
    <n v="6270"/>
    <n v="2356.6550000000016"/>
    <n v="1537.87"/>
    <n v="3250"/>
    <n v="1712.13"/>
    <n v="230"/>
    <n v="590"/>
    <n v="360"/>
    <n v="956.66666666666674"/>
    <n v="1210"/>
    <n v="253.33333333333329"/>
    <n v="2100"/>
    <n v="11320"/>
    <n v="4682.1183333333347"/>
    <n v="2582.1183333333347"/>
    <x v="1"/>
    <x v="2"/>
    <n v="2"/>
    <x v="1"/>
    <x v="0"/>
    <x v="0"/>
    <n v="41.361469375736171"/>
    <n v="22.810232626619566"/>
  </r>
  <r>
    <d v="2023-02-18T00:00:00"/>
    <n v="4915.9750000000004"/>
    <n v="6430"/>
    <n v="1514.0249999999996"/>
    <n v="1471.0500000000002"/>
    <n v="2750"/>
    <n v="1278.9499999999998"/>
    <n v="146"/>
    <n v="900"/>
    <n v="754"/>
    <n v="813.33333333333326"/>
    <n v="1170"/>
    <n v="356.66666666666674"/>
    <n v="2100"/>
    <n v="11250"/>
    <n v="3903.6416666666664"/>
    <n v="1803.6416666666664"/>
    <x v="1"/>
    <x v="2"/>
    <n v="2"/>
    <x v="1"/>
    <x v="1"/>
    <x v="0"/>
    <n v="34.699037037037037"/>
    <n v="16.032370370370369"/>
  </r>
  <r>
    <d v="2023-02-19T00:00:00"/>
    <n v="3518.9049999999988"/>
    <n v="3860"/>
    <n v="341.09500000000116"/>
    <n v="1843.5"/>
    <n v="3750"/>
    <n v="1906.5"/>
    <n v="191.83"/>
    <n v="500"/>
    <n v="308.16999999999996"/>
    <n v="448.33333333333326"/>
    <n v="630"/>
    <n v="181.66666666666669"/>
    <n v="2100"/>
    <n v="8740"/>
    <n v="2737.4316666666682"/>
    <n v="637.43166666666775"/>
    <x v="1"/>
    <x v="2"/>
    <n v="2"/>
    <x v="1"/>
    <x v="2"/>
    <x v="0"/>
    <n v="31.320728451563713"/>
    <n v="7.2932684973302946"/>
  </r>
  <r>
    <d v="2023-02-20T00:00:00"/>
    <n v="4352.7250000000004"/>
    <n v="4890"/>
    <n v="537.27499999999964"/>
    <n v="1825.5"/>
    <n v="3500"/>
    <n v="1674.4999999999998"/>
    <n v="258"/>
    <n v="500"/>
    <n v="242"/>
    <n v="560"/>
    <n v="830"/>
    <n v="270"/>
    <n v="2100"/>
    <n v="9720"/>
    <n v="2723.7749999999996"/>
    <n v="623.77499999999964"/>
    <x v="1"/>
    <x v="2"/>
    <n v="2"/>
    <x v="1"/>
    <x v="3"/>
    <x v="0"/>
    <n v="28.022376543209869"/>
    <n v="6.4174382716049347"/>
  </r>
  <r>
    <d v="2023-02-21T00:00:00"/>
    <n v="4391.8999999999996"/>
    <n v="6440"/>
    <n v="2048.1000000000004"/>
    <n v="1207.6999999999996"/>
    <n v="1750"/>
    <n v="542.30000000000041"/>
    <n v="90"/>
    <n v="600"/>
    <n v="510"/>
    <n v="533.33333333333326"/>
    <n v="760"/>
    <n v="226.66666666666671"/>
    <n v="2100"/>
    <n v="9550"/>
    <n v="3327.0666666666675"/>
    <n v="1227.0666666666675"/>
    <x v="1"/>
    <x v="2"/>
    <n v="2"/>
    <x v="1"/>
    <x v="4"/>
    <x v="0"/>
    <n v="34.838394415357776"/>
    <n v="12.848865619546256"/>
  </r>
  <r>
    <d v="2023-02-22T00:00:00"/>
    <n v="4377.3300000000008"/>
    <n v="5280"/>
    <n v="902.66999999999916"/>
    <n v="588.9000000000002"/>
    <n v="780"/>
    <n v="191.0999999999998"/>
    <n v="118"/>
    <n v="450"/>
    <n v="332"/>
    <n v="528.33333333333326"/>
    <n v="740"/>
    <n v="211.66666666666671"/>
    <n v="2100"/>
    <n v="7250"/>
    <n v="1637.4366666666658"/>
    <n v="-462.56333333333419"/>
    <x v="1"/>
    <x v="2"/>
    <n v="2"/>
    <x v="1"/>
    <x v="5"/>
    <x v="1"/>
    <n v="22.58533333333332"/>
    <n v="-6.3801839080459892"/>
  </r>
  <r>
    <d v="2023-02-23T00:00:00"/>
    <n v="4742.619999999999"/>
    <n v="7030"/>
    <n v="2287.380000000001"/>
    <n v="1435.2"/>
    <n v="2500"/>
    <n v="1064.8"/>
    <n v="174.82999999999998"/>
    <n v="950"/>
    <n v="775.17000000000007"/>
    <n v="881.66666666666652"/>
    <n v="1260"/>
    <n v="378.33333333333337"/>
    <n v="2100"/>
    <n v="11740"/>
    <n v="4505.6833333333343"/>
    <n v="2405.6833333333343"/>
    <x v="1"/>
    <x v="2"/>
    <n v="2"/>
    <x v="1"/>
    <x v="6"/>
    <x v="0"/>
    <n v="38.378904031800118"/>
    <n v="20.491340147643392"/>
  </r>
  <r>
    <d v="2023-02-24T00:00:00"/>
    <n v="4726.1950000000024"/>
    <n v="6730"/>
    <n v="2003.8049999999976"/>
    <n v="2676.15"/>
    <n v="5000"/>
    <n v="2323.85"/>
    <n v="332.83000000000004"/>
    <n v="1300"/>
    <n v="967.17"/>
    <n v="836.66666666666674"/>
    <n v="1210"/>
    <n v="373.33333333333326"/>
    <n v="2100"/>
    <n v="14240"/>
    <n v="5668.1583333333301"/>
    <n v="3568.1583333333301"/>
    <x v="1"/>
    <x v="2"/>
    <n v="2"/>
    <x v="1"/>
    <x v="0"/>
    <x v="0"/>
    <n v="39.804482677902598"/>
    <n v="25.057291666666643"/>
  </r>
  <r>
    <d v="2023-02-25T00:00:00"/>
    <n v="4177.1499999999978"/>
    <n v="6110"/>
    <n v="1932.8500000000024"/>
    <n v="1144.9999999999998"/>
    <n v="2250"/>
    <n v="1105.0000000000002"/>
    <n v="90"/>
    <n v="300"/>
    <n v="210"/>
    <n v="668.33333333333326"/>
    <n v="930"/>
    <n v="261.66666666666674"/>
    <n v="2100"/>
    <n v="9590"/>
    <n v="3509.5166666666692"/>
    <n v="1409.5166666666692"/>
    <x v="1"/>
    <x v="2"/>
    <n v="2"/>
    <x v="1"/>
    <x v="1"/>
    <x v="0"/>
    <n v="36.595585679527311"/>
    <n v="14.697775460549209"/>
  </r>
  <r>
    <d v="2023-02-26T00:00:00"/>
    <n v="4279.5049999999992"/>
    <n v="5810"/>
    <n v="1530.4950000000008"/>
    <n v="1597.8"/>
    <n v="2750"/>
    <n v="1152.2"/>
    <n v="202"/>
    <n v="750"/>
    <n v="548"/>
    <n v="648.33333333333326"/>
    <n v="860"/>
    <n v="211.66666666666671"/>
    <n v="2100"/>
    <n v="10170"/>
    <n v="3442.3616666666676"/>
    <n v="1342.3616666666676"/>
    <x v="1"/>
    <x v="2"/>
    <n v="2"/>
    <x v="1"/>
    <x v="2"/>
    <x v="0"/>
    <n v="33.848197312356618"/>
    <n v="13.199229760734193"/>
  </r>
  <r>
    <d v="2023-02-27T00:00:00"/>
    <n v="5187.4950000000008"/>
    <n v="5880"/>
    <n v="692.5049999999992"/>
    <n v="1923.7"/>
    <n v="4000"/>
    <n v="2076.3000000000002"/>
    <n v="174"/>
    <n v="750"/>
    <n v="576"/>
    <n v="726.66666666666652"/>
    <n v="1020"/>
    <n v="293.33333333333337"/>
    <n v="2100"/>
    <n v="11650"/>
    <n v="3638.1383333333329"/>
    <n v="1538.1383333333329"/>
    <x v="1"/>
    <x v="2"/>
    <n v="2"/>
    <x v="1"/>
    <x v="3"/>
    <x v="0"/>
    <n v="31.228655221745345"/>
    <n v="13.202904148783972"/>
  </r>
  <r>
    <d v="2023-02-28T00:00:00"/>
    <n v="4406.16"/>
    <n v="4780"/>
    <n v="373.84000000000015"/>
    <n v="971.74999999999989"/>
    <n v="2000"/>
    <n v="1028.2500000000002"/>
    <n v="202"/>
    <n v="600"/>
    <n v="398"/>
    <n v="515"/>
    <n v="720"/>
    <n v="205"/>
    <n v="2100"/>
    <n v="8100"/>
    <n v="2005.0900000000004"/>
    <n v="-94.909999999999627"/>
    <x v="1"/>
    <x v="2"/>
    <n v="2"/>
    <x v="1"/>
    <x v="4"/>
    <x v="1"/>
    <n v="24.754197530864204"/>
    <n v="-1.1717283950617239"/>
  </r>
  <r>
    <d v="2023-03-01T00:00:00"/>
    <n v="4196.58"/>
    <n v="6830"/>
    <n v="2633.42"/>
    <n v="1597.5"/>
    <n v="2250"/>
    <n v="652.5"/>
    <n v="354"/>
    <n v="1650"/>
    <n v="1296"/>
    <n v="909.16666666666652"/>
    <n v="1160"/>
    <n v="250.83333333333337"/>
    <n v="2100"/>
    <n v="11890"/>
    <n v="4832.7533333333331"/>
    <n v="2732.7533333333331"/>
    <x v="1"/>
    <x v="3"/>
    <n v="3"/>
    <x v="1"/>
    <x v="5"/>
    <x v="0"/>
    <n v="40.645528455284548"/>
    <n v="22.983627698345945"/>
  </r>
  <r>
    <d v="2023-03-02T00:00:00"/>
    <n v="5623.8349999999982"/>
    <n v="7880"/>
    <n v="2256.1650000000018"/>
    <n v="744.59999999999968"/>
    <n v="1500"/>
    <n v="755.40000000000032"/>
    <n v="90"/>
    <n v="0"/>
    <n v="-90"/>
    <n v="692.5"/>
    <n v="880"/>
    <n v="187.5"/>
    <n v="2100"/>
    <n v="10260"/>
    <n v="3109.0650000000023"/>
    <n v="1009.0650000000024"/>
    <x v="1"/>
    <x v="3"/>
    <n v="3"/>
    <x v="1"/>
    <x v="6"/>
    <x v="0"/>
    <n v="30.302777777777802"/>
    <n v="9.8349415204678596"/>
  </r>
  <r>
    <d v="2023-03-03T00:00:00"/>
    <n v="5633.8700000000017"/>
    <n v="7840"/>
    <n v="2206.1299999999983"/>
    <n v="3144.4"/>
    <n v="5000"/>
    <n v="1855.6"/>
    <n v="575.6"/>
    <n v="3650"/>
    <n v="3074.4"/>
    <n v="929.16666666666652"/>
    <n v="1000"/>
    <n v="70.833333333333371"/>
    <n v="2100"/>
    <n v="17490"/>
    <n v="7206.9633333333313"/>
    <n v="5106.9633333333304"/>
    <x v="1"/>
    <x v="3"/>
    <n v="3"/>
    <x v="1"/>
    <x v="0"/>
    <x v="0"/>
    <n v="41.206194015627965"/>
    <n v="29.199332952163125"/>
  </r>
  <r>
    <d v="2023-03-04T00:00:00"/>
    <n v="6549.125"/>
    <n v="7760"/>
    <n v="1210.875"/>
    <n v="1647.3000000000002"/>
    <n v="3250"/>
    <n v="1602.6999999999998"/>
    <n v="122"/>
    <n v="150"/>
    <n v="28"/>
    <n v="874.16666666666652"/>
    <n v="1120"/>
    <n v="245.83333333333337"/>
    <n v="2100"/>
    <n v="12280"/>
    <n v="3087.4083333333333"/>
    <n v="987.40833333333319"/>
    <x v="1"/>
    <x v="3"/>
    <n v="3"/>
    <x v="1"/>
    <x v="1"/>
    <x v="0"/>
    <n v="25.141761672095548"/>
    <n v="8.0407844733984781"/>
  </r>
  <r>
    <d v="2023-03-05T00:00:00"/>
    <n v="4007.3299999999986"/>
    <n v="4520"/>
    <n v="512.67000000000189"/>
    <n v="1443.3"/>
    <n v="2900"/>
    <n v="1456.7"/>
    <n v="122"/>
    <n v="150"/>
    <n v="28"/>
    <n v="703.33333333333326"/>
    <n v="870"/>
    <n v="166.66666666666674"/>
    <n v="2100"/>
    <n v="8440"/>
    <n v="2164.0366666666687"/>
    <n v="64.03666666666868"/>
    <x v="1"/>
    <x v="3"/>
    <n v="3"/>
    <x v="1"/>
    <x v="2"/>
    <x v="0"/>
    <n v="25.640244865718824"/>
    <n v="0.7587282780410981"/>
  </r>
  <r>
    <d v="2023-03-06T00:00:00"/>
    <n v="5214.1500000000015"/>
    <n v="6790"/>
    <n v="1575.8499999999983"/>
    <n v="1682.6999999999998"/>
    <n v="2930"/>
    <n v="1247.3000000000002"/>
    <n v="90"/>
    <n v="700"/>
    <n v="610"/>
    <n v="935.83333333333326"/>
    <n v="1180"/>
    <n v="244.16666666666671"/>
    <n v="2316.6666666666665"/>
    <n v="11600"/>
    <n v="3677.3166666666657"/>
    <n v="1360.6499999999992"/>
    <x v="1"/>
    <x v="3"/>
    <n v="3"/>
    <x v="1"/>
    <x v="3"/>
    <x v="0"/>
    <n v="31.701005747126427"/>
    <n v="11.729741379310338"/>
  </r>
  <r>
    <d v="2023-03-07T00:00:00"/>
    <n v="5679.9449999999988"/>
    <n v="5260"/>
    <n v="-419.9449999999988"/>
    <n v="1879.8499999999997"/>
    <n v="3430"/>
    <n v="1550.1500000000003"/>
    <n v="163.60000000000002"/>
    <n v="350"/>
    <n v="186.39999999999998"/>
    <n v="1061.6666666666663"/>
    <n v="1360"/>
    <n v="298.33333333333348"/>
    <n v="2316.6666666666665"/>
    <n v="10400"/>
    <n v="1614.9383333333349"/>
    <n v="-701.72833333333165"/>
    <x v="1"/>
    <x v="3"/>
    <n v="3"/>
    <x v="1"/>
    <x v="4"/>
    <x v="1"/>
    <n v="15.52825320512822"/>
    <n v="-6.7473878205128042"/>
  </r>
  <r>
    <d v="2023-03-08T00:00:00"/>
    <n v="3369.9299999999985"/>
    <n v="3630"/>
    <n v="260.07000000000153"/>
    <n v="888.74999999999989"/>
    <n v="1750"/>
    <n v="861.25000000000011"/>
    <n v="154"/>
    <n v="300"/>
    <n v="146"/>
    <n v="1529.1666666666663"/>
    <n v="1920"/>
    <n v="390.83333333333343"/>
    <n v="2316.6666666666665"/>
    <n v="7600"/>
    <n v="1658.153333333335"/>
    <n v="-658.5133333333315"/>
    <x v="1"/>
    <x v="3"/>
    <n v="3"/>
    <x v="1"/>
    <x v="5"/>
    <x v="1"/>
    <n v="21.817807017543881"/>
    <n v="-8.6646491228069937"/>
  </r>
  <r>
    <d v="2023-03-09T00:00:00"/>
    <n v="4307.5699999999979"/>
    <n v="6130"/>
    <n v="1822.4300000000021"/>
    <n v="1121.55"/>
    <n v="2250"/>
    <n v="1128.45"/>
    <n v="320.8"/>
    <n v="1350"/>
    <n v="1029.2"/>
    <n v="745"/>
    <n v="940"/>
    <n v="195"/>
    <n v="2316.6666666666665"/>
    <n v="10670"/>
    <n v="4175.0800000000017"/>
    <n v="1858.4133333333352"/>
    <x v="1"/>
    <x v="3"/>
    <n v="3"/>
    <x v="1"/>
    <x v="6"/>
    <x v="0"/>
    <n v="39.129147141518295"/>
    <n v="17.417182130584212"/>
  </r>
  <r>
    <d v="2023-03-10T00:00:00"/>
    <n v="4533.8599999999997"/>
    <n v="6200"/>
    <n v="1666.1400000000003"/>
    <n v="1321.35"/>
    <n v="2360"/>
    <n v="1038.6500000000001"/>
    <n v="90"/>
    <n v="0"/>
    <n v="-90"/>
    <n v="575"/>
    <n v="720"/>
    <n v="145"/>
    <n v="2316.6666666666665"/>
    <n v="9280"/>
    <n v="2759.79"/>
    <n v="443.12333333333345"/>
    <x v="1"/>
    <x v="3"/>
    <n v="3"/>
    <x v="1"/>
    <x v="0"/>
    <x v="0"/>
    <n v="29.739116379310342"/>
    <n v="4.7750359195402314"/>
  </r>
  <r>
    <d v="2023-03-11T00:00:00"/>
    <n v="4515.5200000000023"/>
    <n v="5620"/>
    <n v="1104.4799999999975"/>
    <n v="2766.5499999999997"/>
    <n v="4750"/>
    <n v="1983.4500000000005"/>
    <n v="167"/>
    <n v="1950"/>
    <n v="1783"/>
    <n v="1950"/>
    <n v="2420"/>
    <n v="470.00000000000023"/>
    <n v="2316.6666666666665"/>
    <n v="14740"/>
    <n v="5340.9299999999985"/>
    <n v="3024.263333333332"/>
    <x v="1"/>
    <x v="3"/>
    <n v="3"/>
    <x v="1"/>
    <x v="1"/>
    <x v="0"/>
    <n v="36.234260515603786"/>
    <n v="20.517390321121656"/>
  </r>
  <r>
    <d v="2023-03-12T00:00:00"/>
    <n v="5048.3449999999984"/>
    <n v="5860"/>
    <n v="811.65500000000156"/>
    <n v="1927.7"/>
    <n v="3500"/>
    <n v="1572.3000000000002"/>
    <n v="199"/>
    <n v="1350"/>
    <n v="1151"/>
    <n v="1731.6666666666663"/>
    <n v="2160"/>
    <n v="428.33333333333343"/>
    <n v="2316.6666666666665"/>
    <n v="12870"/>
    <n v="3963.2883333333352"/>
    <n v="1646.6216666666687"/>
    <x v="1"/>
    <x v="3"/>
    <n v="3"/>
    <x v="1"/>
    <x v="2"/>
    <x v="0"/>
    <n v="30.794781144781158"/>
    <n v="12.79426314426316"/>
  </r>
  <r>
    <d v="2023-03-13T00:00:00"/>
    <n v="5516.2550000000001"/>
    <n v="6750"/>
    <n v="1233.7449999999999"/>
    <n v="1656.6"/>
    <n v="3250"/>
    <n v="1593.4"/>
    <n v="217.8"/>
    <n v="550"/>
    <n v="332.2"/>
    <n v="1493.3333333333337"/>
    <n v="1760"/>
    <n v="266.66666666666652"/>
    <n v="2316.6666666666665"/>
    <n v="12310"/>
    <n v="3426.0116666666659"/>
    <n v="1109.3449999999991"/>
    <x v="1"/>
    <x v="3"/>
    <n v="3"/>
    <x v="1"/>
    <x v="3"/>
    <x v="0"/>
    <n v="27.831126455456261"/>
    <n v="9.0117384240454843"/>
  </r>
  <r>
    <d v="2023-03-14T00:00:00"/>
    <n v="4876.8350000000028"/>
    <n v="6490"/>
    <n v="1613.1649999999972"/>
    <n v="999.60000000000036"/>
    <n v="1250"/>
    <n v="250.39999999999975"/>
    <n v="288.60000000000002"/>
    <n v="1200"/>
    <n v="911.4"/>
    <n v="989.16666666666674"/>
    <n v="1260"/>
    <n v="270.83333333333326"/>
    <n v="2316.6666666666665"/>
    <n v="10200"/>
    <n v="3045.7983333333304"/>
    <n v="729.13166666666405"/>
    <x v="1"/>
    <x v="3"/>
    <n v="3"/>
    <x v="1"/>
    <x v="4"/>
    <x v="0"/>
    <n v="29.860767973856177"/>
    <n v="7.1483496732025893"/>
  </r>
  <r>
    <d v="2023-03-15T00:00:00"/>
    <n v="4381.4049999999997"/>
    <n v="5610"/>
    <n v="1228.5950000000005"/>
    <n v="485.0999999999998"/>
    <n v="1000"/>
    <n v="514.9000000000002"/>
    <n v="90"/>
    <n v="0"/>
    <n v="-90"/>
    <n v="1290"/>
    <n v="1660"/>
    <n v="370"/>
    <n v="2316.6666666666665"/>
    <n v="8270"/>
    <n v="2023.4950000000003"/>
    <n v="-293.17166666666617"/>
    <x v="1"/>
    <x v="3"/>
    <n v="3"/>
    <x v="1"/>
    <x v="5"/>
    <x v="1"/>
    <n v="24.467896009673524"/>
    <n v="-3.5450020153163986"/>
  </r>
  <r>
    <d v="2023-03-16T00:00:00"/>
    <n v="5831.1999999999971"/>
    <n v="8070"/>
    <n v="2238.8000000000029"/>
    <n v="2654.1"/>
    <n v="4750"/>
    <n v="2095.9"/>
    <n v="237.66000000000003"/>
    <n v="2200"/>
    <n v="1962.34"/>
    <n v="1583.333333333333"/>
    <n v="2000"/>
    <n v="416.66666666666697"/>
    <n v="2316.6666666666665"/>
    <n v="17020"/>
    <n v="6713.7066666666697"/>
    <n v="4397.0400000000027"/>
    <x v="1"/>
    <x v="3"/>
    <n v="3"/>
    <x v="1"/>
    <x v="6"/>
    <x v="0"/>
    <n v="39.44598511555035"/>
    <n v="25.834547591069345"/>
  </r>
  <r>
    <d v="2023-03-17T00:00:00"/>
    <n v="6056.7649999999976"/>
    <n v="5050"/>
    <n v="-1006.7649999999976"/>
    <n v="1244.9999999999995"/>
    <n v="2750"/>
    <n v="1505.0000000000005"/>
    <n v="186"/>
    <n v="400"/>
    <n v="214"/>
    <n v="1028.3333333333333"/>
    <n v="1300"/>
    <n v="271.66666666666674"/>
    <n v="2316.6666666666665"/>
    <n v="9500"/>
    <n v="983.9016666666696"/>
    <n v="-1332.7649999999967"/>
    <x v="1"/>
    <x v="3"/>
    <n v="3"/>
    <x v="1"/>
    <x v="0"/>
    <x v="1"/>
    <n v="10.356859649122837"/>
    <n v="-14.029105263157859"/>
  </r>
  <r>
    <d v="2023-03-18T00:00:00"/>
    <n v="4507.9350000000013"/>
    <n v="6260"/>
    <n v="1752.0649999999987"/>
    <n v="2572.5"/>
    <n v="5250"/>
    <n v="2677.5"/>
    <n v="223.4"/>
    <n v="850"/>
    <n v="626.6"/>
    <n v="1345"/>
    <n v="1720"/>
    <n v="375"/>
    <n v="2316.6666666666665"/>
    <n v="14080"/>
    <n v="5431.1649999999991"/>
    <n v="3114.4983333333325"/>
    <x v="1"/>
    <x v="3"/>
    <n v="3"/>
    <x v="1"/>
    <x v="1"/>
    <x v="0"/>
    <n v="38.57361505681817"/>
    <n v="22.120016571969693"/>
  </r>
  <r>
    <d v="2023-03-19T00:00:00"/>
    <n v="4833.2000000000007"/>
    <n v="5800"/>
    <n v="966.79999999999916"/>
    <n v="1292.45"/>
    <n v="2750"/>
    <n v="1457.55"/>
    <n v="384.79999999999995"/>
    <n v="1650"/>
    <n v="1265.2"/>
    <n v="1152.5"/>
    <n v="1300"/>
    <n v="147.5"/>
    <n v="2316.6666666666665"/>
    <n v="11500"/>
    <n v="3837.0499999999993"/>
    <n v="1520.3833333333328"/>
    <x v="1"/>
    <x v="3"/>
    <n v="3"/>
    <x v="1"/>
    <x v="2"/>
    <x v="0"/>
    <n v="33.365652173913034"/>
    <n v="13.220724637681155"/>
  </r>
  <r>
    <d v="2023-03-20T00:00:00"/>
    <n v="3968.1900000000014"/>
    <n v="4720"/>
    <n v="751.80999999999858"/>
    <n v="2045.75"/>
    <n v="3250"/>
    <n v="1204.25"/>
    <n v="258"/>
    <n v="1750"/>
    <n v="1492"/>
    <n v="1020"/>
    <n v="1300"/>
    <n v="280"/>
    <n v="2316.6666666666665"/>
    <n v="11020"/>
    <n v="3728.0599999999986"/>
    <n v="1411.3933333333321"/>
    <x v="1"/>
    <x v="3"/>
    <n v="3"/>
    <x v="1"/>
    <x v="3"/>
    <x v="0"/>
    <n v="33.829945553539012"/>
    <n v="12.807562008469439"/>
  </r>
  <r>
    <d v="2023-03-21T00:00:00"/>
    <n v="4907.4000000000005"/>
    <n v="7100"/>
    <n v="2192.5999999999995"/>
    <n v="569.4"/>
    <n v="1000"/>
    <n v="430.6"/>
    <n v="90"/>
    <n v="0"/>
    <n v="-90"/>
    <n v="1382.5"/>
    <n v="1740"/>
    <n v="357.5"/>
    <n v="2316.6666666666665"/>
    <n v="9840"/>
    <n v="2890.6999999999994"/>
    <n v="574.03333333333285"/>
    <x v="1"/>
    <x v="3"/>
    <n v="3"/>
    <x v="1"/>
    <x v="4"/>
    <x v="0"/>
    <n v="29.377032520325198"/>
    <n v="5.8336720867208625"/>
  </r>
  <r>
    <d v="2023-03-22T00:00:00"/>
    <n v="5289.7449999999999"/>
    <n v="7850"/>
    <n v="2560.2550000000001"/>
    <n v="2550.15"/>
    <n v="5250"/>
    <n v="2699.85"/>
    <n v="166.4"/>
    <n v="350"/>
    <n v="183.60000000000002"/>
    <n v="1793.3333333333333"/>
    <n v="2180"/>
    <n v="386.66666666666674"/>
    <n v="2316.6666666666665"/>
    <n v="15630"/>
    <n v="5830.3716666666669"/>
    <n v="3513.7050000000004"/>
    <x v="1"/>
    <x v="3"/>
    <n v="3"/>
    <x v="1"/>
    <x v="5"/>
    <x v="0"/>
    <n v="37.302441885263384"/>
    <n v="22.480518234165071"/>
  </r>
  <r>
    <d v="2023-03-23T00:00:00"/>
    <n v="3841.4249999999984"/>
    <n v="1600"/>
    <n v="-2241.4249999999988"/>
    <n v="564.14999999999975"/>
    <n v="1250"/>
    <n v="685.85000000000025"/>
    <n v="218"/>
    <n v="600"/>
    <n v="382"/>
    <n v="220.83333333333331"/>
    <n v="280"/>
    <n v="59.166666666666686"/>
    <n v="2316.6666666666665"/>
    <n v="3730"/>
    <n v="-1114.4083333333317"/>
    <n v="-3431.074999999998"/>
    <x v="1"/>
    <x v="3"/>
    <n v="3"/>
    <x v="1"/>
    <x v="6"/>
    <x v="1"/>
    <n v="-29.876899016979401"/>
    <n v="-91.98592493297582"/>
  </r>
  <r>
    <d v="2023-03-24T00:00:00"/>
    <n v="1103.4350000000013"/>
    <n v="2790"/>
    <n v="1686.5649999999987"/>
    <n v="638.80000000000007"/>
    <n v="1250"/>
    <n v="611.19999999999993"/>
    <n v="122"/>
    <n v="450"/>
    <n v="328"/>
    <n v="819.16666666666652"/>
    <n v="1040"/>
    <n v="220.83333333333337"/>
    <n v="2316.6666666666665"/>
    <n v="5530"/>
    <n v="2846.598333333332"/>
    <n v="529.93166666666548"/>
    <x v="1"/>
    <x v="3"/>
    <n v="3"/>
    <x v="1"/>
    <x v="0"/>
    <x v="0"/>
    <n v="51.475557564798045"/>
    <n v="9.582851115129575"/>
  </r>
  <r>
    <d v="2023-03-25T00:00:00"/>
    <n v="2003.1949999999997"/>
    <n v="3740"/>
    <n v="1736.8050000000003"/>
    <n v="331.95000000000016"/>
    <n v="750"/>
    <n v="418.04999999999984"/>
    <n v="90"/>
    <n v="0"/>
    <n v="-90"/>
    <n v="1252.4999999999998"/>
    <n v="1460"/>
    <n v="207.50000000000023"/>
    <n v="2316.6666666666665"/>
    <n v="5950"/>
    <n v="2272.3550000000005"/>
    <n v="-44.311666666666042"/>
    <x v="1"/>
    <x v="3"/>
    <n v="3"/>
    <x v="1"/>
    <x v="1"/>
    <x v="1"/>
    <n v="38.190840336134464"/>
    <n v="-0.74473389355741249"/>
  </r>
  <r>
    <d v="2023-03-26T00:00:00"/>
    <n v="2551.9899999999993"/>
    <n v="3140"/>
    <n v="588.01000000000067"/>
    <n v="234.30000000000013"/>
    <n v="500"/>
    <n v="265.69999999999987"/>
    <n v="90"/>
    <n v="0"/>
    <n v="-90"/>
    <n v="1090"/>
    <n v="1360"/>
    <n v="270"/>
    <n v="2316.6666666666665"/>
    <n v="5000"/>
    <n v="1033.7100000000005"/>
    <n v="-1282.956666666666"/>
    <x v="1"/>
    <x v="3"/>
    <n v="3"/>
    <x v="1"/>
    <x v="2"/>
    <x v="1"/>
    <n v="20.67420000000001"/>
    <n v="-25.659133333333322"/>
  </r>
  <r>
    <d v="2023-03-27T00:00:00"/>
    <n v="1744.7349999999999"/>
    <n v="2280"/>
    <n v="535.26499999999987"/>
    <n v="337.5"/>
    <n v="500"/>
    <n v="162.5"/>
    <n v="90"/>
    <n v="0"/>
    <n v="-90"/>
    <n v="884.16666666666674"/>
    <n v="1120"/>
    <n v="235.83333333333329"/>
    <n v="2316.6666666666665"/>
    <n v="3900"/>
    <n v="843.59833333333313"/>
    <n v="-1473.0683333333334"/>
    <x v="1"/>
    <x v="3"/>
    <n v="3"/>
    <x v="1"/>
    <x v="3"/>
    <x v="1"/>
    <n v="21.630726495726492"/>
    <n v="-37.770982905982905"/>
  </r>
  <r>
    <d v="2023-03-28T00:00:00"/>
    <n v="1504.38"/>
    <n v="1730"/>
    <n v="225.62000000000012"/>
    <n v="877.2"/>
    <n v="1750"/>
    <n v="872.8"/>
    <n v="90"/>
    <n v="0"/>
    <n v="-90"/>
    <n v="855"/>
    <n v="1080"/>
    <n v="225"/>
    <n v="2316.6666666666665"/>
    <n v="4560"/>
    <n v="1233.42"/>
    <n v="-1083.2466666666664"/>
    <x v="1"/>
    <x v="3"/>
    <n v="3"/>
    <x v="1"/>
    <x v="4"/>
    <x v="1"/>
    <n v="27.048684210526318"/>
    <n v="-23.755409356725142"/>
  </r>
  <r>
    <d v="2023-03-29T00:00:00"/>
    <n v="2584.0700000000006"/>
    <n v="2970"/>
    <n v="385.92999999999938"/>
    <n v="282.75000000000011"/>
    <n v="500"/>
    <n v="217.24999999999989"/>
    <n v="0"/>
    <n v="0"/>
    <n v="0"/>
    <n v="668.33333333333326"/>
    <n v="840"/>
    <n v="171.66666666666674"/>
    <n v="2316.6666666666665"/>
    <n v="4310"/>
    <n v="774.84666666666612"/>
    <n v="-1541.8200000000006"/>
    <x v="1"/>
    <x v="3"/>
    <n v="3"/>
    <x v="1"/>
    <x v="5"/>
    <x v="1"/>
    <n v="17.977880897138427"/>
    <n v="-35.773085846867765"/>
  </r>
  <r>
    <d v="2023-03-30T00:00:00"/>
    <n v="2709.94"/>
    <n v="2500"/>
    <n v="-209.94000000000003"/>
    <n v="1078.4000000000001"/>
    <n v="2680"/>
    <n v="1601.6"/>
    <n v="0"/>
    <n v="0"/>
    <n v="0"/>
    <n v="481.66666666666663"/>
    <n v="620"/>
    <n v="138.33333333333337"/>
    <n v="2316.6666666666665"/>
    <n v="5800"/>
    <n v="1529.9933333333331"/>
    <n v="-786.67333333333318"/>
    <x v="1"/>
    <x v="3"/>
    <n v="3"/>
    <x v="1"/>
    <x v="6"/>
    <x v="1"/>
    <n v="26.379195402298848"/>
    <n v="-13.563333333333331"/>
  </r>
  <r>
    <d v="2023-03-31T00:00:00"/>
    <n v="1695.7800000000009"/>
    <n v="2660"/>
    <n v="964.219999999999"/>
    <n v="948.65"/>
    <n v="2250"/>
    <n v="1301.3499999999999"/>
    <n v="0"/>
    <n v="0"/>
    <n v="0"/>
    <n v="911.66666666666652"/>
    <n v="1140"/>
    <n v="228.33333333333337"/>
    <n v="2316.6666666666665"/>
    <n v="6050"/>
    <n v="2493.9033333333323"/>
    <n v="177.23666666666577"/>
    <x v="1"/>
    <x v="3"/>
    <n v="3"/>
    <x v="1"/>
    <x v="0"/>
    <x v="0"/>
    <n v="41.221542699724502"/>
    <n v="2.9295316804407565"/>
  </r>
  <r>
    <d v="2023-04-01T00:00:00"/>
    <n v="2618.494999999999"/>
    <n v="2620"/>
    <n v="1.5050000000010186"/>
    <n v="410.24999999999994"/>
    <n v="1000"/>
    <n v="589.75"/>
    <n v="0"/>
    <n v="0"/>
    <n v="0"/>
    <n v="279.16666666666669"/>
    <n v="360"/>
    <n v="80.833333333333314"/>
    <n v="2316.6666666666665"/>
    <n v="3980"/>
    <n v="672.08833333333428"/>
    <n v="-1644.5783333333322"/>
    <x v="1"/>
    <x v="4"/>
    <n v="4"/>
    <x v="2"/>
    <x v="1"/>
    <x v="1"/>
    <n v="16.88664154103855"/>
    <n v="-41.32106365159126"/>
  </r>
  <r>
    <d v="2023-04-02T00:00:00"/>
    <n v="1810.1199999999983"/>
    <n v="2460"/>
    <n v="649.88000000000147"/>
    <n v="346.19999999999993"/>
    <n v="750"/>
    <n v="403.80000000000007"/>
    <n v="0"/>
    <n v="0"/>
    <n v="0"/>
    <n v="597.5"/>
    <n v="740"/>
    <n v="142.5"/>
    <n v="2316.6666666666665"/>
    <n v="3950"/>
    <n v="1196.1800000000017"/>
    <n v="-1120.4866666666649"/>
    <x v="1"/>
    <x v="4"/>
    <n v="4"/>
    <x v="2"/>
    <x v="2"/>
    <x v="1"/>
    <n v="30.283037974683584"/>
    <n v="-28.366751054852273"/>
  </r>
  <r>
    <d v="2023-04-03T00:00:00"/>
    <n v="2147.7200000000003"/>
    <n v="2530"/>
    <n v="382.27999999999975"/>
    <n v="1608.0500000000002"/>
    <n v="3000"/>
    <n v="1391.9499999999998"/>
    <n v="90"/>
    <n v="900"/>
    <n v="810"/>
    <n v="727.5"/>
    <n v="910"/>
    <n v="182.5"/>
    <n v="2316.6666666666665"/>
    <n v="7340"/>
    <n v="2766.7299999999996"/>
    <n v="450.06333333333305"/>
    <x v="1"/>
    <x v="4"/>
    <n v="4"/>
    <x v="2"/>
    <x v="3"/>
    <x v="0"/>
    <n v="37.693869209809264"/>
    <n v="6.1316530426884608"/>
  </r>
  <r>
    <d v="2023-04-04T00:00:00"/>
    <n v="3060.8000000000011"/>
    <n v="2130"/>
    <n v="-930.80000000000109"/>
    <n v="1091.2"/>
    <n v="1750"/>
    <n v="658.8"/>
    <n v="150"/>
    <n v="1500"/>
    <n v="1350"/>
    <n v="996.66666666666652"/>
    <n v="1260"/>
    <n v="263.33333333333337"/>
    <n v="2316.6666666666665"/>
    <n v="6640"/>
    <n v="1341.3333333333319"/>
    <n v="-975.33333333333439"/>
    <x v="1"/>
    <x v="4"/>
    <n v="4"/>
    <x v="2"/>
    <x v="4"/>
    <x v="1"/>
    <n v="20.200803212851383"/>
    <n v="-14.688755020080338"/>
  </r>
  <r>
    <d v="2023-04-05T00:00:00"/>
    <n v="2397.4899999999993"/>
    <n v="2420"/>
    <n v="22.510000000000673"/>
    <n v="283.90000000000003"/>
    <n v="500"/>
    <n v="216.09999999999997"/>
    <n v="0"/>
    <n v="0"/>
    <n v="0"/>
    <n v="353.33333333333331"/>
    <n v="490"/>
    <n v="136.66666666666669"/>
    <n v="2316.6666666666665"/>
    <n v="3410"/>
    <n v="375.27666666666738"/>
    <n v="-1941.3899999999992"/>
    <x v="1"/>
    <x v="4"/>
    <n v="4"/>
    <x v="2"/>
    <x v="5"/>
    <x v="1"/>
    <n v="11.005180840664734"/>
    <n v="-56.932258064516105"/>
  </r>
  <r>
    <d v="2023-04-06T00:00:00"/>
    <n v="1980.5800000000008"/>
    <n v="2120"/>
    <n v="139.41999999999939"/>
    <n v="471.95"/>
    <n v="1000"/>
    <n v="528.04999999999995"/>
    <n v="0"/>
    <n v="0"/>
    <n v="0"/>
    <n v="378.33333333333337"/>
    <n v="490"/>
    <n v="111.66666666666664"/>
    <n v="2316.6666666666665"/>
    <n v="3610"/>
    <n v="779.13666666666597"/>
    <n v="-1537.5300000000009"/>
    <x v="1"/>
    <x v="4"/>
    <n v="4"/>
    <x v="2"/>
    <x v="6"/>
    <x v="1"/>
    <n v="21.582733148661106"/>
    <n v="-42.590858725761798"/>
  </r>
  <r>
    <d v="2023-04-07T00:00:00"/>
    <n v="2258.58"/>
    <n v="3700"/>
    <n v="1441.42"/>
    <n v="371.84999999999985"/>
    <n v="250"/>
    <n v="-121.84999999999984"/>
    <n v="35"/>
    <n v="550"/>
    <n v="515"/>
    <n v="883.33333333333326"/>
    <n v="1100"/>
    <n v="216.66666666666671"/>
    <n v="2316.6666666666665"/>
    <n v="5600"/>
    <n v="2051.2366666666667"/>
    <n v="-265.42999999999984"/>
    <x v="1"/>
    <x v="4"/>
    <n v="4"/>
    <x v="2"/>
    <x v="0"/>
    <x v="1"/>
    <n v="36.629226190476189"/>
    <n v="-4.7398214285714255"/>
  </r>
  <r>
    <d v="2023-04-08T00:00:00"/>
    <n v="1979.7500000000009"/>
    <n v="2860"/>
    <n v="880.24999999999932"/>
    <n v="192.95"/>
    <n v="250"/>
    <n v="57.049999999999983"/>
    <n v="103"/>
    <n v="350"/>
    <n v="247"/>
    <n v="1283.3333333333333"/>
    <n v="1600"/>
    <n v="316.66666666666674"/>
    <n v="2316.6666666666665"/>
    <n v="5060"/>
    <n v="1500.966666666666"/>
    <n v="-815.7000000000005"/>
    <x v="1"/>
    <x v="4"/>
    <n v="4"/>
    <x v="2"/>
    <x v="1"/>
    <x v="1"/>
    <n v="29.663372859025021"/>
    <n v="-16.120553359683804"/>
  </r>
  <r>
    <d v="2023-04-09T00:00:00"/>
    <n v="2459.6350000000002"/>
    <n v="2590"/>
    <n v="130.36500000000024"/>
    <n v="1264.4000000000001"/>
    <n v="2070"/>
    <n v="805.60000000000014"/>
    <n v="0"/>
    <n v="900"/>
    <n v="900"/>
    <n v="655.83333333333326"/>
    <n v="850"/>
    <n v="194.16666666666671"/>
    <n v="2316.6666666666665"/>
    <n v="6410"/>
    <n v="2030.1316666666671"/>
    <n v="-286.5349999999994"/>
    <x v="1"/>
    <x v="4"/>
    <n v="4"/>
    <x v="2"/>
    <x v="2"/>
    <x v="1"/>
    <n v="31.671320852834121"/>
    <n v="-4.4701248049921904"/>
  </r>
  <r>
    <d v="2023-04-10T00:00:00"/>
    <n v="1990.4950000000008"/>
    <n v="2410"/>
    <n v="419.50499999999943"/>
    <n v="913.39999999999986"/>
    <n v="1750"/>
    <n v="836.60000000000014"/>
    <n v="0"/>
    <n v="0"/>
    <n v="0"/>
    <n v="1058.3333333333333"/>
    <n v="1330"/>
    <n v="271.66666666666674"/>
    <n v="2316.6666666666665"/>
    <n v="5490"/>
    <n v="1527.7716666666663"/>
    <n v="-788.89500000000021"/>
    <x v="1"/>
    <x v="4"/>
    <n v="4"/>
    <x v="2"/>
    <x v="3"/>
    <x v="1"/>
    <n v="27.828263509411045"/>
    <n v="-14.369672131147546"/>
  </r>
  <r>
    <d v="2023-04-11T00:00:00"/>
    <n v="2531.5409999999988"/>
    <n v="3200"/>
    <n v="668.4590000000012"/>
    <n v="871.35"/>
    <n v="1250"/>
    <n v="378.65"/>
    <n v="0"/>
    <n v="0"/>
    <n v="0"/>
    <n v="1199.1666666666663"/>
    <n v="1530"/>
    <n v="330.83333333333348"/>
    <n v="2316.6666666666665"/>
    <n v="5980"/>
    <n v="1377.9423333333348"/>
    <n v="-938.72433333333163"/>
    <x v="1"/>
    <x v="4"/>
    <n v="4"/>
    <x v="2"/>
    <x v="4"/>
    <x v="1"/>
    <n v="23.042513935340047"/>
    <n v="-15.697731326644341"/>
  </r>
  <r>
    <d v="2023-04-12T00:00:00"/>
    <n v="4100.9240000000009"/>
    <n v="1330"/>
    <n v="-2770.9240000000009"/>
    <n v="256.90000000000003"/>
    <n v="500"/>
    <n v="243.09999999999997"/>
    <n v="0"/>
    <n v="0"/>
    <n v="0"/>
    <n v="980.83333333333348"/>
    <n v="1270"/>
    <n v="289.16666666666663"/>
    <n v="2316.6666666666665"/>
    <n v="3100"/>
    <n v="-2238.6573333333345"/>
    <n v="-4555.3240000000005"/>
    <x v="1"/>
    <x v="4"/>
    <n v="4"/>
    <x v="2"/>
    <x v="5"/>
    <x v="1"/>
    <n v="-72.214752688172084"/>
    <n v="-146.94593548387098"/>
  </r>
  <r>
    <d v="2023-04-13T00:00:00"/>
    <n v="1104.2300000000007"/>
    <n v="3000"/>
    <n v="1895.7699999999993"/>
    <n v="357.25000000000017"/>
    <n v="500"/>
    <n v="142.74999999999983"/>
    <n v="30"/>
    <n v="300"/>
    <n v="270"/>
    <n v="1351.6666666666663"/>
    <n v="1760"/>
    <n v="408.33333333333343"/>
    <n v="2316.6666666666665"/>
    <n v="5560"/>
    <n v="2716.8533333333321"/>
    <n v="400.18666666666559"/>
    <x v="1"/>
    <x v="4"/>
    <n v="4"/>
    <x v="2"/>
    <x v="6"/>
    <x v="0"/>
    <n v="48.864268585131867"/>
    <n v="7.1976019184652085"/>
  </r>
  <r>
    <d v="2023-04-14T00:00:00"/>
    <n v="2072.0550000000003"/>
    <n v="3180"/>
    <n v="1107.9449999999997"/>
    <n v="371.54999999999984"/>
    <n v="750"/>
    <n v="378.45000000000016"/>
    <n v="0"/>
    <n v="0"/>
    <n v="0"/>
    <n v="1091.6666666666663"/>
    <n v="1370"/>
    <n v="278.33333333333348"/>
    <n v="2316.6666666666665"/>
    <n v="5300"/>
    <n v="1764.7283333333337"/>
    <n v="-551.93833333333305"/>
    <x v="1"/>
    <x v="4"/>
    <n v="4"/>
    <x v="2"/>
    <x v="0"/>
    <x v="1"/>
    <n v="33.296761006289316"/>
    <n v="-10.413930817610058"/>
  </r>
  <r>
    <d v="2023-04-15T00:00:00"/>
    <n v="2418.625"/>
    <n v="2170"/>
    <n v="-248.625"/>
    <n v="0"/>
    <n v="0"/>
    <n v="0"/>
    <n v="0"/>
    <n v="0"/>
    <n v="0"/>
    <n v="215.83333333333331"/>
    <n v="210"/>
    <n v="-5.8333333333333144"/>
    <n v="2316.6666666666665"/>
    <n v="2380"/>
    <n v="-254.45833333333331"/>
    <n v="-2571.125"/>
    <x v="1"/>
    <x v="4"/>
    <n v="4"/>
    <x v="2"/>
    <x v="1"/>
    <x v="1"/>
    <n v="-10.691526610644257"/>
    <n v="-108.03046218487395"/>
  </r>
  <r>
    <d v="2023-04-16T00:00:00"/>
    <n v="1642.3549999999996"/>
    <n v="4220"/>
    <n v="2577.6450000000004"/>
    <n v="575.90000000000009"/>
    <n v="1000"/>
    <n v="424.09999999999991"/>
    <n v="30"/>
    <n v="300"/>
    <n v="270"/>
    <n v="1509.1666666666663"/>
    <n v="1880"/>
    <n v="370.83333333333343"/>
    <n v="2316.6666666666665"/>
    <n v="7400"/>
    <n v="3642.5783333333334"/>
    <n v="1325.9116666666671"/>
    <x v="1"/>
    <x v="4"/>
    <n v="4"/>
    <x v="2"/>
    <x v="2"/>
    <x v="0"/>
    <n v="49.22403153153153"/>
    <n v="17.917725225225229"/>
  </r>
  <r>
    <d v="2023-04-17T00:00:00"/>
    <n v="2363.06"/>
    <n v="2890"/>
    <n v="526.94000000000005"/>
    <n v="1779.9500000000005"/>
    <n v="3180"/>
    <n v="1400.0499999999995"/>
    <n v="30"/>
    <n v="300"/>
    <n v="270"/>
    <n v="1039.1666666666663"/>
    <n v="1340"/>
    <n v="300.83333333333348"/>
    <n v="2316.6666666666665"/>
    <n v="7710"/>
    <n v="2497.8233333333333"/>
    <n v="181.15666666666675"/>
    <x v="1"/>
    <x v="4"/>
    <n v="4"/>
    <x v="2"/>
    <x v="3"/>
    <x v="0"/>
    <n v="32.397189796800689"/>
    <n v="2.3496325118893222"/>
  </r>
  <r>
    <d v="2023-04-18T00:00:00"/>
    <n v="3370.0499999999997"/>
    <n v="3540"/>
    <n v="169.95000000000027"/>
    <n v="1681.0000000000005"/>
    <n v="3360"/>
    <n v="1678.9999999999995"/>
    <n v="0"/>
    <n v="0"/>
    <n v="0"/>
    <n v="1320"/>
    <n v="1560"/>
    <n v="240"/>
    <n v="2316.6666666666665"/>
    <n v="8460"/>
    <n v="2088.9499999999998"/>
    <n v="-227.7166666666667"/>
    <x v="1"/>
    <x v="4"/>
    <n v="4"/>
    <x v="2"/>
    <x v="4"/>
    <x v="1"/>
    <n v="24.692080378250587"/>
    <n v="-2.6916863672182827"/>
  </r>
  <r>
    <d v="2023-04-19T00:00:00"/>
    <n v="3395.775000000001"/>
    <n v="3630"/>
    <n v="234.224999999999"/>
    <n v="665.69999999999993"/>
    <n v="750"/>
    <n v="84.300000000000068"/>
    <n v="68"/>
    <n v="350"/>
    <n v="282"/>
    <n v="907.5"/>
    <n v="960"/>
    <n v="52.5"/>
    <n v="2316.6666666666665"/>
    <n v="5690"/>
    <n v="653.02499999999907"/>
    <n v="-1663.6416666666671"/>
    <x v="1"/>
    <x v="4"/>
    <n v="4"/>
    <x v="2"/>
    <x v="5"/>
    <x v="1"/>
    <n v="11.476713532513164"/>
    <n v="-29.237990626830708"/>
  </r>
  <r>
    <d v="2023-04-20T00:00:00"/>
    <n v="2080.0599999999995"/>
    <n v="3010"/>
    <n v="929.94000000000051"/>
    <n v="326.74999999999994"/>
    <n v="500"/>
    <n v="173.25000000000006"/>
    <n v="0"/>
    <n v="0"/>
    <n v="0"/>
    <n v="1153.3333333333333"/>
    <n v="1360"/>
    <n v="206.66666666666671"/>
    <n v="2316.6666666666665"/>
    <n v="4870"/>
    <n v="1309.8566666666673"/>
    <n v="-1006.8099999999991"/>
    <x v="1"/>
    <x v="4"/>
    <n v="4"/>
    <x v="2"/>
    <x v="6"/>
    <x v="1"/>
    <n v="26.89644079397674"/>
    <n v="-20.673716632443515"/>
  </r>
  <r>
    <d v="2023-04-21T00:00:00"/>
    <n v="4206.2"/>
    <n v="7650"/>
    <n v="3443.8"/>
    <n v="2220.6999999999998"/>
    <n v="4250"/>
    <n v="2029.3"/>
    <n v="245.8"/>
    <n v="1450"/>
    <n v="1204.2"/>
    <n v="2038.3333333333337"/>
    <n v="2440"/>
    <n v="401.66666666666657"/>
    <n v="2316.6666666666665"/>
    <n v="15790"/>
    <n v="7078.9666666666672"/>
    <n v="4762.3000000000011"/>
    <x v="1"/>
    <x v="4"/>
    <n v="4"/>
    <x v="2"/>
    <x v="0"/>
    <x v="0"/>
    <n v="44.831961156850333"/>
    <n v="30.160227992400262"/>
  </r>
  <r>
    <d v="2023-04-22T00:00:00"/>
    <n v="7570.9350000000004"/>
    <n v="11220"/>
    <n v="3649.065000000001"/>
    <n v="3804.3"/>
    <n v="7250"/>
    <n v="3445.7"/>
    <n v="381.8"/>
    <n v="1650"/>
    <n v="1268.2"/>
    <n v="3431.6666666666665"/>
    <n v="4290"/>
    <n v="858.33333333333348"/>
    <n v="2316.6666666666665"/>
    <n v="24410"/>
    <n v="9221.2983333333341"/>
    <n v="6904.631666666668"/>
    <x v="1"/>
    <x v="4"/>
    <n v="4"/>
    <x v="2"/>
    <x v="1"/>
    <x v="0"/>
    <n v="37.776724020210303"/>
    <n v="28.286078110064189"/>
  </r>
  <r>
    <d v="2023-04-23T00:00:00"/>
    <n v="6730.0849999999991"/>
    <n v="10750"/>
    <n v="4019.9150000000009"/>
    <n v="2619.8000000000002"/>
    <n v="3750"/>
    <n v="1130.1999999999998"/>
    <n v="316.43"/>
    <n v="2350"/>
    <n v="2033.57"/>
    <n v="2751.6666666666665"/>
    <n v="3360"/>
    <n v="608.33333333333348"/>
    <n v="2316.6666666666665"/>
    <n v="20210"/>
    <n v="7792.0183333333325"/>
    <n v="5475.3516666666674"/>
    <x v="1"/>
    <x v="4"/>
    <n v="4"/>
    <x v="2"/>
    <x v="2"/>
    <x v="0"/>
    <n v="38.555261421738408"/>
    <n v="27.09228929572819"/>
  </r>
  <r>
    <d v="2023-04-24T00:00:00"/>
    <n v="6391.3700000000008"/>
    <n v="8400"/>
    <n v="2008.6299999999992"/>
    <n v="4424.4000000000005"/>
    <n v="9300"/>
    <n v="4875.5999999999995"/>
    <n v="253.83"/>
    <n v="1250"/>
    <n v="996.17"/>
    <n v="2022.5"/>
    <n v="2720"/>
    <n v="697.5"/>
    <n v="2316.6666666666665"/>
    <n v="21670"/>
    <n v="8577.8999999999978"/>
    <n v="6261.2333333333318"/>
    <x v="1"/>
    <x v="4"/>
    <n v="4"/>
    <x v="2"/>
    <x v="3"/>
    <x v="0"/>
    <n v="39.584217812644198"/>
    <n v="28.893554837717268"/>
  </r>
  <r>
    <d v="2023-04-25T00:00:00"/>
    <n v="6056.6450000000004"/>
    <n v="8090"/>
    <n v="2033.3549999999996"/>
    <n v="2381.3499999999995"/>
    <n v="3500"/>
    <n v="1118.6500000000003"/>
    <n v="263"/>
    <n v="1470"/>
    <n v="1207"/>
    <n v="1476.6666666666663"/>
    <n v="1680"/>
    <n v="203.33333333333348"/>
    <n v="2316.6666666666665"/>
    <n v="14740"/>
    <n v="4562.3383333333331"/>
    <n v="2245.6716666666666"/>
    <x v="1"/>
    <x v="4"/>
    <n v="4"/>
    <x v="2"/>
    <x v="4"/>
    <x v="0"/>
    <n v="30.952091813658978"/>
    <n v="15.235221619176842"/>
  </r>
  <r>
    <d v="2023-04-26T00:00:00"/>
    <n v="5319.0349999999989"/>
    <n v="8570"/>
    <n v="3250.9650000000011"/>
    <n v="2801.9"/>
    <n v="4000"/>
    <n v="1198.0999999999999"/>
    <n v="499.26"/>
    <n v="3500"/>
    <n v="3000.74"/>
    <n v="825.83333333333348"/>
    <n v="1090"/>
    <n v="264.16666666666663"/>
    <n v="2316.6666666666665"/>
    <n v="17160"/>
    <n v="7713.9716666666673"/>
    <n v="5397.3050000000003"/>
    <x v="1"/>
    <x v="4"/>
    <n v="4"/>
    <x v="2"/>
    <x v="5"/>
    <x v="0"/>
    <n v="44.953214840714843"/>
    <n v="31.45282634032634"/>
  </r>
  <r>
    <d v="2023-04-27T00:00:00"/>
    <n v="4960.6600000000008"/>
    <n v="8130"/>
    <n v="3169.3399999999992"/>
    <n v="2548.65"/>
    <n v="4750"/>
    <n v="2201.35"/>
    <n v="537.46"/>
    <n v="1670"/>
    <n v="1132.54"/>
    <n v="1534.9999999999998"/>
    <n v="2030"/>
    <n v="495.00000000000023"/>
    <n v="2316.6666666666665"/>
    <n v="16580"/>
    <n v="6998.2299999999987"/>
    <n v="4681.5633333333317"/>
    <x v="1"/>
    <x v="4"/>
    <n v="4"/>
    <x v="2"/>
    <x v="6"/>
    <x v="0"/>
    <n v="42.208866103739439"/>
    <n v="28.23620828307196"/>
  </r>
  <r>
    <d v="2023-04-28T00:00:00"/>
    <n v="6370.869999999999"/>
    <n v="8310"/>
    <n v="1939.130000000001"/>
    <n v="2433.0999999999995"/>
    <n v="4750"/>
    <n v="2316.9000000000005"/>
    <n v="303.49"/>
    <n v="2200"/>
    <n v="1896.51"/>
    <n v="1557.5"/>
    <n v="1900"/>
    <n v="342.5"/>
    <n v="2316.6666666666665"/>
    <n v="17160"/>
    <n v="6495.0400000000018"/>
    <n v="4178.3733333333348"/>
    <x v="1"/>
    <x v="4"/>
    <n v="4"/>
    <x v="2"/>
    <x v="0"/>
    <x v="0"/>
    <n v="37.849883449883457"/>
    <n v="24.349494949494957"/>
  </r>
  <r>
    <d v="2023-04-29T00:00:00"/>
    <n v="4012.1349999999993"/>
    <n v="7010"/>
    <n v="2997.8650000000007"/>
    <n v="2370.6000000000004"/>
    <n v="4850"/>
    <n v="2479.3999999999996"/>
    <n v="282"/>
    <n v="750"/>
    <n v="468"/>
    <n v="1895"/>
    <n v="2490"/>
    <n v="595"/>
    <n v="2316.6666666666665"/>
    <n v="15100"/>
    <n v="6540.2650000000003"/>
    <n v="4223.5983333333334"/>
    <x v="1"/>
    <x v="4"/>
    <n v="4"/>
    <x v="2"/>
    <x v="1"/>
    <x v="0"/>
    <n v="43.313013245033119"/>
    <n v="27.97084988962472"/>
  </r>
  <r>
    <d v="2023-04-30T00:00:00"/>
    <n v="7887.2299999999987"/>
    <n v="9470"/>
    <n v="1582.7700000000025"/>
    <n v="1769.4000000000003"/>
    <n v="3100"/>
    <n v="1330.5999999999997"/>
    <n v="291.83000000000004"/>
    <n v="1150"/>
    <n v="858.17"/>
    <n v="2277.5"/>
    <n v="2720"/>
    <n v="442.5"/>
    <n v="2316.6666666666665"/>
    <n v="16440"/>
    <n v="4214.0400000000018"/>
    <n v="1897.3733333333353"/>
    <x v="1"/>
    <x v="4"/>
    <n v="4"/>
    <x v="2"/>
    <x v="2"/>
    <x v="0"/>
    <n v="25.632846715328476"/>
    <n v="11.541200324412015"/>
  </r>
  <r>
    <d v="2023-05-01T00:00:00"/>
    <n v="4208.965000000002"/>
    <n v="4740"/>
    <n v="531.03499999999804"/>
    <n v="445.00000000000006"/>
    <n v="1000"/>
    <n v="555"/>
    <n v="167.83"/>
    <n v="600"/>
    <n v="432.16999999999996"/>
    <n v="856.66666666666652"/>
    <n v="1090"/>
    <n v="233.33333333333337"/>
    <n v="2316.6666666666665"/>
    <n v="7430"/>
    <n v="1751.5383333333316"/>
    <n v="-565.12833333333492"/>
    <x v="1"/>
    <x v="5"/>
    <n v="5"/>
    <x v="2"/>
    <x v="3"/>
    <x v="1"/>
    <n v="23.573867205024651"/>
    <n v="-7.6060340960071997"/>
  </r>
  <r>
    <d v="2023-05-02T00:00:00"/>
    <n v="5353.585"/>
    <n v="8130"/>
    <n v="2776.415"/>
    <n v="3133"/>
    <n v="6500"/>
    <n v="3367"/>
    <n v="60"/>
    <n v="600"/>
    <n v="540"/>
    <n v="1145.8333333333333"/>
    <n v="1470"/>
    <n v="324.16666666666674"/>
    <n v="2316.6666666666665"/>
    <n v="16700"/>
    <n v="7007.5816666666669"/>
    <n v="4690.9150000000009"/>
    <x v="1"/>
    <x v="5"/>
    <n v="5"/>
    <x v="2"/>
    <x v="4"/>
    <x v="0"/>
    <n v="41.961566866267468"/>
    <n v="28.089311377245512"/>
  </r>
  <r>
    <d v="2023-05-03T00:00:00"/>
    <n v="7133.2850000000008"/>
    <n v="8910"/>
    <n v="1776.7149999999992"/>
    <n v="1458.15"/>
    <n v="2500"/>
    <n v="1041.8499999999999"/>
    <n v="282"/>
    <n v="850"/>
    <n v="568"/>
    <n v="897.49999999999989"/>
    <n v="1210"/>
    <n v="312.50000000000011"/>
    <n v="2316.6666666666665"/>
    <n v="13470"/>
    <n v="3699.0649999999991"/>
    <n v="1382.3983333333326"/>
    <x v="1"/>
    <x v="5"/>
    <n v="5"/>
    <x v="2"/>
    <x v="5"/>
    <x v="0"/>
    <n v="27.46150705270972"/>
    <n v="10.262793862905216"/>
  </r>
  <r>
    <d v="2023-05-04T00:00:00"/>
    <n v="4517.43"/>
    <n v="7690"/>
    <n v="3172.5699999999997"/>
    <n v="1923.2000000000005"/>
    <n v="4000"/>
    <n v="2076.7999999999997"/>
    <n v="438.31999999999994"/>
    <n v="1800"/>
    <n v="1361.68"/>
    <n v="1105.8333333333333"/>
    <n v="1470"/>
    <n v="364.16666666666674"/>
    <n v="2316.6666666666665"/>
    <n v="14960"/>
    <n v="6975.2166666666662"/>
    <n v="4658.5499999999993"/>
    <x v="1"/>
    <x v="5"/>
    <n v="5"/>
    <x v="2"/>
    <x v="6"/>
    <x v="0"/>
    <n v="46.625779857397504"/>
    <n v="31.140040106951865"/>
  </r>
  <r>
    <d v="2023-05-05T00:00:00"/>
    <n v="6796.9049999999997"/>
    <n v="7930"/>
    <n v="1133.0950000000005"/>
    <n v="1753.7500000000002"/>
    <n v="2750"/>
    <n v="996.24999999999989"/>
    <n v="255"/>
    <n v="2120"/>
    <n v="1865"/>
    <n v="836.66666666666652"/>
    <n v="1050"/>
    <n v="213.33333333333337"/>
    <n v="2316.6666666666665"/>
    <n v="13850"/>
    <n v="4207.6783333333333"/>
    <n v="1891.0116666666668"/>
    <x v="1"/>
    <x v="5"/>
    <n v="5"/>
    <x v="2"/>
    <x v="0"/>
    <x v="0"/>
    <n v="30.380348977135981"/>
    <n v="13.653513838748497"/>
  </r>
  <r>
    <d v="2023-05-06T00:00:00"/>
    <n v="6868.56"/>
    <n v="9720"/>
    <n v="2851.4399999999996"/>
    <n v="1874.6"/>
    <n v="2430"/>
    <n v="555.39999999999986"/>
    <n v="466"/>
    <n v="2950"/>
    <n v="2484"/>
    <n v="1694.1666666666667"/>
    <n v="2310"/>
    <n v="615.83333333333326"/>
    <n v="2316.6666666666665"/>
    <n v="17410"/>
    <n v="6506.6733333333323"/>
    <n v="4190.0066666666662"/>
    <x v="1"/>
    <x v="5"/>
    <n v="5"/>
    <x v="2"/>
    <x v="1"/>
    <x v="0"/>
    <n v="37.373195481524021"/>
    <n v="24.066666666666663"/>
  </r>
  <r>
    <d v="2023-05-07T00:00:00"/>
    <n v="5956.4299999999994"/>
    <n v="7850"/>
    <n v="1893.5700000000008"/>
    <n v="1088.5999999999999"/>
    <n v="2500"/>
    <n v="1411.4"/>
    <n v="103.83000000000001"/>
    <n v="650"/>
    <n v="546.16999999999996"/>
    <n v="1410"/>
    <n v="1780"/>
    <n v="370"/>
    <n v="2316.6666666666665"/>
    <n v="12780"/>
    <n v="4221.1400000000003"/>
    <n v="1904.4733333333336"/>
    <x v="1"/>
    <x v="5"/>
    <n v="5"/>
    <x v="2"/>
    <x v="2"/>
    <x v="0"/>
    <n v="33.029264475743354"/>
    <n v="14.901982263954098"/>
  </r>
  <r>
    <d v="2023-05-08T00:00:00"/>
    <n v="5974.2650000000003"/>
    <n v="6790"/>
    <n v="815.73499999999967"/>
    <n v="2183.6"/>
    <n v="4250"/>
    <n v="2066.4"/>
    <n v="184"/>
    <n v="1150"/>
    <n v="966"/>
    <n v="1288.3333333333333"/>
    <n v="1660"/>
    <n v="371.66666666666674"/>
    <n v="2316.6666666666665"/>
    <n v="13850"/>
    <n v="4219.8016666666663"/>
    <n v="1903.135"/>
    <x v="1"/>
    <x v="5"/>
    <n v="5"/>
    <x v="2"/>
    <x v="3"/>
    <x v="0"/>
    <n v="30.467882069795426"/>
    <n v="13.74104693140794"/>
  </r>
  <r>
    <d v="2023-05-09T00:00:00"/>
    <n v="4627.0599999999986"/>
    <n v="7900"/>
    <n v="3272.9400000000014"/>
    <n v="1924.6000000000004"/>
    <n v="4000"/>
    <n v="2075.3999999999996"/>
    <n v="60"/>
    <n v="600"/>
    <n v="540"/>
    <n v="1248.3333333333333"/>
    <n v="1570"/>
    <n v="321.66666666666674"/>
    <n v="2316.6666666666665"/>
    <n v="14070"/>
    <n v="6210.006666666668"/>
    <n v="3893.3400000000015"/>
    <x v="1"/>
    <x v="5"/>
    <n v="5"/>
    <x v="2"/>
    <x v="4"/>
    <x v="0"/>
    <n v="44.136507936507947"/>
    <n v="27.671215351812378"/>
  </r>
  <r>
    <d v="2023-05-10T00:00:00"/>
    <n v="6482.2450000000026"/>
    <n v="9880"/>
    <n v="3397.7549999999974"/>
    <n v="2991.4499999999994"/>
    <n v="6500"/>
    <n v="3508.5500000000006"/>
    <n v="252"/>
    <n v="1350"/>
    <n v="1098"/>
    <n v="2591.6666666666665"/>
    <n v="3370"/>
    <n v="778.33333333333348"/>
    <n v="2316.6666666666665"/>
    <n v="21100"/>
    <n v="8782.6383333333324"/>
    <n v="6465.9716666666664"/>
    <x v="1"/>
    <x v="5"/>
    <n v="5"/>
    <x v="2"/>
    <x v="5"/>
    <x v="0"/>
    <n v="41.623878357030016"/>
    <n v="30.644415481832542"/>
  </r>
  <r>
    <d v="2023-05-11T00:00:00"/>
    <n v="5419.4250000000002"/>
    <n v="7110"/>
    <n v="1690.5749999999998"/>
    <n v="1744.9500000000005"/>
    <n v="3250"/>
    <n v="1505.0499999999995"/>
    <n v="151.32000000000002"/>
    <n v="1550"/>
    <n v="1398.6799999999998"/>
    <n v="2039.1666666666663"/>
    <n v="2580"/>
    <n v="540.83333333333348"/>
    <n v="2316.6666666666665"/>
    <n v="14490"/>
    <n v="5135.1383333333342"/>
    <n v="2818.4716666666677"/>
    <x v="1"/>
    <x v="5"/>
    <n v="5"/>
    <x v="2"/>
    <x v="6"/>
    <x v="0"/>
    <n v="35.439187945709691"/>
    <n v="19.451150218541528"/>
  </r>
  <r>
    <d v="2023-05-12T00:00:00"/>
    <n v="6218.5199999999977"/>
    <n v="9290"/>
    <n v="3071.4800000000023"/>
    <n v="2222.4"/>
    <n v="4500"/>
    <n v="2277.6"/>
    <n v="252"/>
    <n v="2050"/>
    <n v="1798"/>
    <n v="2790.8333333333335"/>
    <n v="3660"/>
    <n v="869.16666666666652"/>
    <n v="2316.6666666666665"/>
    <n v="19500"/>
    <n v="8016.2466666666669"/>
    <n v="5699.5800000000017"/>
    <x v="1"/>
    <x v="5"/>
    <n v="5"/>
    <x v="2"/>
    <x v="0"/>
    <x v="0"/>
    <n v="41.108957264957269"/>
    <n v="29.228615384615392"/>
  </r>
  <r>
    <d v="2023-05-13T00:00:00"/>
    <n v="6259.0299999999988"/>
    <n v="6880"/>
    <n v="620.97000000000116"/>
    <n v="2304.75"/>
    <n v="4500"/>
    <n v="2195.25"/>
    <n v="30"/>
    <n v="300"/>
    <n v="270"/>
    <n v="2297.4999999999995"/>
    <n v="2620"/>
    <n v="322.50000000000045"/>
    <n v="2316.6666666666665"/>
    <n v="14300"/>
    <n v="3408.7200000000016"/>
    <n v="1092.0533333333351"/>
    <x v="1"/>
    <x v="5"/>
    <n v="5"/>
    <x v="2"/>
    <x v="1"/>
    <x v="0"/>
    <n v="23.83720279720281"/>
    <n v="7.6367365967366094"/>
  </r>
  <r>
    <d v="2023-05-14T00:00:00"/>
    <n v="4925.7500000000009"/>
    <n v="4580"/>
    <n v="-345.75000000000091"/>
    <n v="967.9000000000002"/>
    <n v="750"/>
    <n v="-217.9000000000002"/>
    <n v="379.49"/>
    <n v="2450"/>
    <n v="2070.5100000000002"/>
    <n v="2836.6666666666665"/>
    <n v="3290"/>
    <n v="453.33333333333343"/>
    <n v="2316.6666666666665"/>
    <n v="11070"/>
    <n v="1960.193333333332"/>
    <n v="-356.47333333333427"/>
    <x v="1"/>
    <x v="5"/>
    <n v="5"/>
    <x v="2"/>
    <x v="2"/>
    <x v="1"/>
    <n v="17.707256850346269"/>
    <n v="-3.2201746461909146"/>
  </r>
  <r>
    <d v="2023-05-15T00:00:00"/>
    <n v="5106.6750000000002"/>
    <n v="4580"/>
    <n v="-526.67500000000018"/>
    <n v="1228.7"/>
    <n v="2000"/>
    <n v="771.3"/>
    <n v="85.489999999999952"/>
    <n v="350"/>
    <n v="264.51000000000005"/>
    <n v="2418.333333333333"/>
    <n v="2950"/>
    <n v="531.66666666666697"/>
    <n v="2316.6666666666665"/>
    <n v="9880"/>
    <n v="1040.8016666666667"/>
    <n v="-1275.8649999999998"/>
    <x v="1"/>
    <x v="5"/>
    <n v="5"/>
    <x v="2"/>
    <x v="3"/>
    <x v="1"/>
    <n v="10.534429824561405"/>
    <n v="-12.913613360323883"/>
  </r>
  <r>
    <d v="2023-05-16T00:00:00"/>
    <n v="4780.1750000000011"/>
    <n v="6430"/>
    <n v="1649.8249999999989"/>
    <n v="1599.1999999999998"/>
    <n v="2750"/>
    <n v="1150.8000000000002"/>
    <n v="30"/>
    <n v="300"/>
    <n v="270"/>
    <n v="1752.4999999999998"/>
    <n v="2330"/>
    <n v="577.50000000000023"/>
    <n v="2316.6666666666665"/>
    <n v="11810"/>
    <n v="3648.1249999999991"/>
    <n v="1331.4583333333326"/>
    <x v="1"/>
    <x v="5"/>
    <n v="5"/>
    <x v="2"/>
    <x v="4"/>
    <x v="0"/>
    <n v="30.890135478408119"/>
    <n v="11.273990968106117"/>
  </r>
  <r>
    <d v="2023-05-17T00:00:00"/>
    <n v="5782.8549999999996"/>
    <n v="7160"/>
    <n v="1377.1450000000004"/>
    <n v="3075.05"/>
    <n v="3750"/>
    <n v="674.94999999999982"/>
    <n v="210"/>
    <n v="2100"/>
    <n v="1890"/>
    <n v="1776.666666666667"/>
    <n v="2260"/>
    <n v="483.33333333333303"/>
    <n v="2316.6666666666665"/>
    <n v="15270"/>
    <n v="4425.4283333333333"/>
    <n v="2108.7616666666668"/>
    <x v="1"/>
    <x v="5"/>
    <n v="5"/>
    <x v="2"/>
    <x v="5"/>
    <x v="0"/>
    <n v="28.981194062431783"/>
    <n v="13.809834097358657"/>
  </r>
  <r>
    <d v="2023-05-18T00:00:00"/>
    <n v="5588.05"/>
    <n v="6400"/>
    <n v="811.94999999999982"/>
    <n v="539.20000000000005"/>
    <n v="500"/>
    <n v="-39.200000000000045"/>
    <n v="338"/>
    <n v="2000"/>
    <n v="1662"/>
    <n v="1040.8333333333333"/>
    <n v="1410"/>
    <n v="369.16666666666674"/>
    <n v="2316.6666666666665"/>
    <n v="10310"/>
    <n v="2803.916666666667"/>
    <n v="487.25000000000045"/>
    <x v="1"/>
    <x v="5"/>
    <n v="5"/>
    <x v="2"/>
    <x v="6"/>
    <x v="0"/>
    <n v="27.196087940510832"/>
    <n v="4.7259941804073762"/>
  </r>
  <r>
    <d v="2023-05-19T00:00:00"/>
    <n v="4005.835"/>
    <n v="4630"/>
    <n v="624.16500000000042"/>
    <n v="879.99999999999989"/>
    <n v="1750"/>
    <n v="870.00000000000011"/>
    <n v="30"/>
    <n v="250"/>
    <n v="220"/>
    <n v="2195.833333333333"/>
    <n v="2770"/>
    <n v="574.16666666666697"/>
    <n v="2316.6666666666665"/>
    <n v="9400"/>
    <n v="2288.3316666666678"/>
    <n v="-28.334999999998672"/>
    <x v="1"/>
    <x v="5"/>
    <n v="5"/>
    <x v="2"/>
    <x v="0"/>
    <x v="1"/>
    <n v="24.343953900709234"/>
    <n v="-0.30143617021275182"/>
  </r>
  <r>
    <d v="2023-05-20T00:00:00"/>
    <n v="4038.5349999999985"/>
    <n v="4190"/>
    <n v="151.46500000000151"/>
    <n v="925.00000000000011"/>
    <n v="750"/>
    <n v="-175.00000000000011"/>
    <n v="410"/>
    <n v="1700"/>
    <n v="1290"/>
    <n v="2263.333333333333"/>
    <n v="2860"/>
    <n v="596.66666666666697"/>
    <n v="2316.6666666666665"/>
    <n v="9500"/>
    <n v="1863.1316666666685"/>
    <n v="-453.53499999999809"/>
    <x v="1"/>
    <x v="5"/>
    <n v="5"/>
    <x v="2"/>
    <x v="1"/>
    <x v="1"/>
    <n v="19.611912280701773"/>
    <n v="-4.7740526315789271"/>
  </r>
  <r>
    <d v="2023-05-21T00:00:00"/>
    <n v="3456.9100000000012"/>
    <n v="4190"/>
    <n v="733.08999999999867"/>
    <n v="1824.5"/>
    <n v="3500"/>
    <n v="1675.4999999999998"/>
    <n v="128"/>
    <n v="500"/>
    <n v="372"/>
    <n v="2110"/>
    <n v="2320"/>
    <n v="210"/>
    <n v="2316.6666666666665"/>
    <n v="10510"/>
    <n v="2990.5899999999983"/>
    <n v="673.92333333333181"/>
    <x v="1"/>
    <x v="5"/>
    <n v="5"/>
    <x v="2"/>
    <x v="2"/>
    <x v="0"/>
    <n v="28.45470980019028"/>
    <n v="6.4122105930859359"/>
  </r>
  <r>
    <d v="2023-05-22T00:00:00"/>
    <n v="3456.9100000000012"/>
    <n v="4310"/>
    <n v="853.08999999999867"/>
    <n v="1824.5"/>
    <n v="3500"/>
    <n v="1675.4999999999998"/>
    <n v="128"/>
    <n v="500"/>
    <n v="372"/>
    <n v="2110"/>
    <n v="2320"/>
    <n v="210"/>
    <n v="2316.6666666666665"/>
    <n v="10630"/>
    <n v="3110.5899999999983"/>
    <n v="793.92333333333181"/>
    <x v="1"/>
    <x v="5"/>
    <n v="5"/>
    <x v="2"/>
    <x v="3"/>
    <x v="0"/>
    <n v="29.262370649106291"/>
    <n v="7.4687049231733944"/>
  </r>
  <r>
    <d v="2023-05-23T00:00:00"/>
    <n v="4157.25"/>
    <n v="4300"/>
    <n v="142.75"/>
    <n v="2636"/>
    <n v="4750"/>
    <n v="2114"/>
    <n v="253.83"/>
    <n v="930"/>
    <n v="676.17"/>
    <n v="1204.1666666666667"/>
    <n v="1370"/>
    <n v="165.83333333333326"/>
    <n v="2316.6666666666665"/>
    <n v="11350"/>
    <n v="3098.7533333333331"/>
    <n v="782.08666666666659"/>
    <x v="1"/>
    <x v="5"/>
    <n v="5"/>
    <x v="2"/>
    <x v="4"/>
    <x v="0"/>
    <n v="27.301791483113071"/>
    <n v="6.8906314243759175"/>
  </r>
  <r>
    <d v="2023-05-24T00:00:00"/>
    <n v="4490.2699999999995"/>
    <n v="6040"/>
    <n v="1549.7300000000005"/>
    <n v="2165.2000000000007"/>
    <n v="4000"/>
    <n v="1834.7999999999993"/>
    <n v="0"/>
    <n v="1800"/>
    <n v="1800"/>
    <n v="1970.8333333333333"/>
    <n v="2170"/>
    <n v="199.16666666666671"/>
    <n v="2316.6666666666665"/>
    <n v="14010"/>
    <n v="5383.6966666666667"/>
    <n v="3067.03"/>
    <x v="1"/>
    <x v="5"/>
    <n v="5"/>
    <x v="2"/>
    <x v="5"/>
    <x v="0"/>
    <n v="38.427527956221745"/>
    <n v="21.891720199857247"/>
  </r>
  <r>
    <d v="2023-05-25T00:00:00"/>
    <n v="4890.7649999999985"/>
    <n v="5580"/>
    <n v="689.23500000000149"/>
    <n v="1879.6"/>
    <n v="2500"/>
    <n v="620.39999999999986"/>
    <n v="211.66000000000003"/>
    <n v="1250"/>
    <n v="1038.3399999999999"/>
    <n v="1828.3333333333333"/>
    <n v="2140"/>
    <n v="311.66666666666674"/>
    <n v="2316.6666666666665"/>
    <n v="11470"/>
    <n v="2659.6416666666678"/>
    <n v="342.97500000000173"/>
    <x v="1"/>
    <x v="5"/>
    <n v="5"/>
    <x v="2"/>
    <x v="6"/>
    <x v="0"/>
    <n v="23.187808776518466"/>
    <n v="2.990191804707949"/>
  </r>
  <r>
    <d v="2023-05-26T00:00:00"/>
    <n v="5837.6299999999983"/>
    <n v="7150"/>
    <n v="1312.3700000000017"/>
    <n v="2154.1000000000004"/>
    <n v="2000"/>
    <n v="-154.10000000000036"/>
    <n v="223.32000000000002"/>
    <n v="3050"/>
    <n v="2826.68"/>
    <n v="1871.6666666666663"/>
    <n v="2500"/>
    <n v="628.33333333333348"/>
    <n v="2316.6666666666665"/>
    <n v="14700"/>
    <n v="4613.2833333333347"/>
    <n v="2296.6166666666682"/>
    <x v="1"/>
    <x v="5"/>
    <n v="5"/>
    <x v="2"/>
    <x v="0"/>
    <x v="0"/>
    <n v="31.382879818594112"/>
    <n v="15.623242630385498"/>
  </r>
  <r>
    <d v="2023-05-27T00:00:00"/>
    <n v="4867.99"/>
    <n v="5150"/>
    <n v="282.01000000000022"/>
    <n v="1980.8"/>
    <n v="2500"/>
    <n v="519.19999999999982"/>
    <n v="147.65999999999994"/>
    <n v="1850"/>
    <n v="1702.3400000000001"/>
    <n v="1879.1666666666663"/>
    <n v="2270"/>
    <n v="390.83333333333343"/>
    <n v="2316.6666666666665"/>
    <n v="11770"/>
    <n v="2894.3833333333337"/>
    <n v="577.71666666666715"/>
    <x v="1"/>
    <x v="5"/>
    <n v="5"/>
    <x v="2"/>
    <x v="1"/>
    <x v="0"/>
    <n v="24.591192296799775"/>
    <n v="4.9083828943642072"/>
  </r>
  <r>
    <d v="2023-05-28T00:00:00"/>
    <n v="6949.1600000000008"/>
    <n v="5080"/>
    <n v="-1869.1600000000008"/>
    <n v="2254.0499999999997"/>
    <n v="3000"/>
    <n v="745.95000000000027"/>
    <n v="385.49"/>
    <n v="2200"/>
    <n v="1814.51"/>
    <n v="1986.6666666666663"/>
    <n v="2380"/>
    <n v="393.33333333333343"/>
    <n v="2316.6666666666665"/>
    <n v="12660"/>
    <n v="1084.633333333333"/>
    <n v="-1232.0333333333335"/>
    <x v="1"/>
    <x v="5"/>
    <n v="5"/>
    <x v="2"/>
    <x v="2"/>
    <x v="1"/>
    <n v="8.5674038967877806"/>
    <n v="-9.7317008952080073"/>
  </r>
  <r>
    <d v="2023-05-29T00:00:00"/>
    <n v="5420.5099999999984"/>
    <n v="5620"/>
    <n v="199.4900000000016"/>
    <n v="3167.4"/>
    <n v="4250"/>
    <n v="1082.5999999999999"/>
    <n v="237.83"/>
    <n v="2750"/>
    <n v="2512.17"/>
    <n v="1123.3333333333333"/>
    <n v="1440"/>
    <n v="316.66666666666674"/>
    <n v="2316.6666666666665"/>
    <n v="14060"/>
    <n v="4110.9266666666681"/>
    <n v="1794.2600000000016"/>
    <x v="1"/>
    <x v="5"/>
    <n v="5"/>
    <x v="2"/>
    <x v="3"/>
    <x v="0"/>
    <n v="29.23845424371741"/>
    <n v="12.76145092460883"/>
  </r>
  <r>
    <d v="2023-05-30T00:00:00"/>
    <n v="5444.2750000000024"/>
    <n v="5670"/>
    <n v="225.72499999999764"/>
    <n v="3629.55"/>
    <n v="5500"/>
    <n v="1870.4500000000005"/>
    <n v="260"/>
    <n v="2750"/>
    <n v="2490"/>
    <n v="1545.8333333333337"/>
    <n v="1730"/>
    <n v="184.16666666666652"/>
    <n v="2316.6666666666665"/>
    <n v="15650"/>
    <n v="4770.3416666666635"/>
    <n v="2453.674999999997"/>
    <x v="1"/>
    <x v="5"/>
    <n v="5"/>
    <x v="2"/>
    <x v="4"/>
    <x v="0"/>
    <n v="30.481416400425964"/>
    <n v="15.678434504792312"/>
  </r>
  <r>
    <d v="2023-05-31T00:00:00"/>
    <n v="4815.5549999999994"/>
    <n v="5740"/>
    <n v="924.44500000000062"/>
    <n v="1701.2000000000005"/>
    <n v="2000"/>
    <n v="298.79999999999973"/>
    <n v="260"/>
    <n v="2250"/>
    <n v="1990"/>
    <n v="872.5"/>
    <n v="1210"/>
    <n v="337.5"/>
    <n v="2316.6666666666665"/>
    <n v="11200"/>
    <n v="3550.7450000000003"/>
    <n v="1234.0783333333338"/>
    <x v="1"/>
    <x v="5"/>
    <n v="5"/>
    <x v="2"/>
    <x v="5"/>
    <x v="0"/>
    <n v="31.703080357142859"/>
    <n v="11.018556547619053"/>
  </r>
  <r>
    <d v="2023-06-01T00:00:00"/>
    <n v="7191.2250000000004"/>
    <n v="8450"/>
    <n v="1258.7749999999996"/>
    <n v="1701.9"/>
    <n v="3000"/>
    <n v="1298.0999999999999"/>
    <n v="164"/>
    <n v="1500"/>
    <n v="1336"/>
    <n v="659.16666666666663"/>
    <n v="870"/>
    <n v="210.83333333333337"/>
    <n v="2316.6666666666665"/>
    <n v="13820"/>
    <n v="4103.708333333333"/>
    <n v="1787.0416666666663"/>
    <x v="1"/>
    <x v="6"/>
    <n v="6"/>
    <x v="2"/>
    <x v="6"/>
    <x v="0"/>
    <n v="29.693982151471292"/>
    <n v="12.930836951278337"/>
  </r>
  <r>
    <d v="2023-06-02T00:00:00"/>
    <n v="5258.7999999999984"/>
    <n v="5010"/>
    <n v="-248.79999999999836"/>
    <n v="2576.1999999999998"/>
    <n v="3250"/>
    <n v="673.80000000000018"/>
    <n v="161"/>
    <n v="1120"/>
    <n v="959"/>
    <n v="1201.6666666666667"/>
    <n v="1520"/>
    <n v="318.33333333333326"/>
    <n v="2316.6666666666665"/>
    <n v="10900"/>
    <n v="1702.3333333333353"/>
    <n v="-614.33333333333144"/>
    <x v="1"/>
    <x v="6"/>
    <n v="6"/>
    <x v="2"/>
    <x v="0"/>
    <x v="1"/>
    <n v="15.617737003058121"/>
    <n v="-5.6360856269112976"/>
  </r>
  <r>
    <d v="2023-06-03T00:00:00"/>
    <n v="4419.010000000002"/>
    <n v="5980"/>
    <n v="1560.989999999998"/>
    <n v="1977.05"/>
    <n v="2610"/>
    <n v="632.95000000000005"/>
    <n v="174.65999999999997"/>
    <n v="1020"/>
    <n v="845.34"/>
    <n v="1854.1666666666667"/>
    <n v="2530"/>
    <n v="675.83333333333326"/>
    <n v="2316.6666666666665"/>
    <n v="12140"/>
    <n v="3715.113333333331"/>
    <n v="1398.4466666666644"/>
    <x v="1"/>
    <x v="6"/>
    <n v="6"/>
    <x v="2"/>
    <x v="1"/>
    <x v="0"/>
    <n v="30.602251510159235"/>
    <n v="11.519330038440399"/>
  </r>
  <r>
    <d v="2023-06-04T00:00:00"/>
    <n v="4730.8749999999982"/>
    <n v="5280"/>
    <n v="549.12500000000182"/>
    <n v="2083.7999999999997"/>
    <n v="3430"/>
    <n v="1346.2000000000005"/>
    <n v="104.66000000000001"/>
    <n v="650"/>
    <n v="545.33999999999992"/>
    <n v="2107.5"/>
    <n v="2710"/>
    <n v="602.5"/>
    <n v="2316.6666666666665"/>
    <n v="12070"/>
    <n v="3043.1650000000022"/>
    <n v="726.49833333333572"/>
    <x v="1"/>
    <x v="6"/>
    <n v="6"/>
    <x v="2"/>
    <x v="2"/>
    <x v="0"/>
    <n v="25.212634631317332"/>
    <n v="6.019041701187537"/>
  </r>
  <r>
    <d v="2023-06-05T00:00:00"/>
    <n v="4062.8150000000001"/>
    <n v="4280"/>
    <n v="217.18499999999997"/>
    <n v="1404.45"/>
    <n v="2680"/>
    <n v="1275.55"/>
    <n v="25"/>
    <n v="300"/>
    <n v="275"/>
    <n v="1596.6666666666667"/>
    <n v="2140"/>
    <n v="543.33333333333326"/>
    <n v="2316.6666666666665"/>
    <n v="9400"/>
    <n v="2311.0683333333332"/>
    <n v="-5.5983333333333576"/>
    <x v="1"/>
    <x v="6"/>
    <n v="6"/>
    <x v="2"/>
    <x v="3"/>
    <x v="1"/>
    <n v="24.585833333333333"/>
    <n v="-5.9556737588652736E-2"/>
  </r>
  <r>
    <d v="2023-06-06T00:00:00"/>
    <n v="6301.9000000000005"/>
    <n v="4180"/>
    <n v="-2121.9000000000005"/>
    <n v="2172.3500000000004"/>
    <n v="5400"/>
    <n v="3227.6499999999996"/>
    <n v="125"/>
    <n v="1500"/>
    <n v="1375"/>
    <n v="3455"/>
    <n v="4520"/>
    <n v="1065"/>
    <n v="2316.6666666666665"/>
    <n v="15600"/>
    <n v="3545.7499999999991"/>
    <n v="1229.0833333333326"/>
    <x v="1"/>
    <x v="6"/>
    <n v="6"/>
    <x v="2"/>
    <x v="4"/>
    <x v="0"/>
    <n v="22.729166666666661"/>
    <n v="7.8787393162393107"/>
  </r>
  <r>
    <d v="2023-06-07T00:00:00"/>
    <n v="3733.2249999999985"/>
    <n v="3910"/>
    <n v="176.77500000000191"/>
    <n v="1431.1999999999998"/>
    <n v="2000"/>
    <n v="568.80000000000018"/>
    <n v="221"/>
    <n v="2070"/>
    <n v="1849"/>
    <n v="2037.5"/>
    <n v="2710"/>
    <n v="672.5"/>
    <n v="2316.6666666666665"/>
    <n v="10690"/>
    <n v="3267.0750000000021"/>
    <n v="950.40833333333558"/>
    <x v="1"/>
    <x v="6"/>
    <n v="6"/>
    <x v="2"/>
    <x v="5"/>
    <x v="0"/>
    <n v="30.56197380729656"/>
    <n v="8.8906298721546833"/>
  </r>
  <r>
    <d v="2023-06-11T00:00:00"/>
    <n v="6067.6199999999981"/>
    <n v="7290"/>
    <n v="1222.3800000000019"/>
    <n v="3267.4"/>
    <n v="5250"/>
    <n v="2500"/>
    <n v="100"/>
    <n v="1200"/>
    <n v="1100"/>
    <n v="2706.666666666667"/>
    <n v="3460"/>
    <n v="753.33333333333292"/>
    <n v="2316.6666666666665"/>
    <n v="17200"/>
    <n v="5575.713333333335"/>
    <n v="3259.0466666666684"/>
    <x v="1"/>
    <x v="6"/>
    <n v="6"/>
    <x v="2"/>
    <x v="2"/>
    <x v="0"/>
    <n v="32.416937984496137"/>
    <n v="18.947945736434118"/>
  </r>
  <r>
    <d v="2023-06-12T00:00:00"/>
    <n v="5114.4600000000009"/>
    <n v="4860"/>
    <n v="-254.46000000000095"/>
    <n v="1375.0500000000002"/>
    <n v="2000"/>
    <n v="624.94999999999982"/>
    <n v="25"/>
    <n v="300"/>
    <n v="275"/>
    <n v="2245"/>
    <n v="2700"/>
    <n v="455"/>
    <n v="2316.6666666666665"/>
    <n v="9860"/>
    <n v="1100.4899999999989"/>
    <n v="-1216.1766666666676"/>
    <x v="1"/>
    <x v="6"/>
    <n v="6"/>
    <x v="2"/>
    <x v="3"/>
    <x v="1"/>
    <n v="11.161156186612564"/>
    <n v="-12.334448951994601"/>
  </r>
  <r>
    <d v="2023-06-13T00:00:00"/>
    <n v="4657.0449999999992"/>
    <n v="5240"/>
    <n v="582.95500000000084"/>
    <n v="2325.85"/>
    <n v="4300"/>
    <n v="1974.15"/>
    <n v="178.83"/>
    <n v="1250"/>
    <n v="1071.17"/>
    <n v="2645.833333333333"/>
    <n v="3110"/>
    <n v="464.16666666666697"/>
    <n v="2316.6666666666665"/>
    <n v="13900"/>
    <n v="4092.441666666668"/>
    <n v="1775.7750000000017"/>
    <x v="1"/>
    <x v="6"/>
    <n v="6"/>
    <x v="2"/>
    <x v="4"/>
    <x v="0"/>
    <n v="29.442026378896891"/>
    <n v="12.775359712230227"/>
  </r>
  <r>
    <d v="2023-06-14T00:00:00"/>
    <n v="4249.3550000000014"/>
    <n v="5510"/>
    <n v="1260.6449999999986"/>
    <n v="1100.2999999999995"/>
    <n v="1800"/>
    <n v="699.70000000000027"/>
    <n v="242.5"/>
    <n v="1400"/>
    <n v="1157.5"/>
    <n v="2880.8333333333335"/>
    <n v="3790"/>
    <n v="909.16666666666652"/>
    <n v="2316.6666666666665"/>
    <n v="12500"/>
    <n v="4027.0116666666654"/>
    <n v="1710.3449999999989"/>
    <x v="1"/>
    <x v="6"/>
    <n v="6"/>
    <x v="2"/>
    <x v="5"/>
    <x v="0"/>
    <n v="32.216093333333326"/>
    <n v="13.682759999999991"/>
  </r>
  <r>
    <d v="2023-06-15T00:00:00"/>
    <n v="5531.2849999999999"/>
    <n v="6010"/>
    <n v="478.71500000000015"/>
    <n v="1245.5499999999995"/>
    <n v="1200"/>
    <n v="-45.549999999999727"/>
    <n v="105"/>
    <n v="900"/>
    <n v="795"/>
    <n v="1988.3333333333333"/>
    <n v="2720"/>
    <n v="731.66666666666674"/>
    <n v="2316.6666666666665"/>
    <n v="10830"/>
    <n v="1959.8316666666672"/>
    <n v="-356.83499999999935"/>
    <x v="1"/>
    <x v="6"/>
    <n v="6"/>
    <x v="2"/>
    <x v="6"/>
    <x v="1"/>
    <n v="18.096321945213916"/>
    <n v="-3.2948753462603819"/>
  </r>
  <r>
    <d v="2023-06-16T00:00:00"/>
    <n v="4756.7749999999987"/>
    <n v="6010"/>
    <n v="1253.2250000000013"/>
    <n v="1174.8499999999999"/>
    <n v="1800"/>
    <n v="625.15000000000009"/>
    <n v="105"/>
    <n v="900"/>
    <n v="795"/>
    <n v="2320"/>
    <n v="3180"/>
    <n v="860"/>
    <n v="2316.6666666666665"/>
    <n v="11890"/>
    <n v="3533.3750000000018"/>
    <n v="1216.7083333333348"/>
    <x v="1"/>
    <x v="6"/>
    <n v="6"/>
    <x v="2"/>
    <x v="0"/>
    <x v="0"/>
    <n v="29.717199327165702"/>
    <n v="10.233038968320731"/>
  </r>
  <r>
    <d v="2023-06-17T00:00:00"/>
    <n v="4756.7749999999987"/>
    <n v="5780"/>
    <n v="1023.2250000000012"/>
    <n v="1174.8499999999999"/>
    <n v="1800"/>
    <n v="625.15000000000009"/>
    <n v="105"/>
    <n v="900"/>
    <n v="795"/>
    <n v="2320"/>
    <n v="3180"/>
    <n v="860"/>
    <n v="2316.6666666666665"/>
    <n v="11660"/>
    <n v="3303.3750000000018"/>
    <n v="986.70833333333485"/>
    <x v="1"/>
    <x v="6"/>
    <n v="6"/>
    <x v="2"/>
    <x v="1"/>
    <x v="0"/>
    <n v="28.330831903945125"/>
    <n v="8.4623356203545015"/>
  </r>
  <r>
    <d v="2023-06-18T00:00:00"/>
    <n v="4799.6900000000005"/>
    <n v="5220"/>
    <n v="420.30999999999955"/>
    <n v="2230.9"/>
    <n v="3600"/>
    <n v="1369.1"/>
    <n v="198"/>
    <n v="1850"/>
    <n v="1652"/>
    <n v="2649.1666666666665"/>
    <n v="3180"/>
    <n v="530.83333333333348"/>
    <n v="2316.6666666666665"/>
    <n v="13850"/>
    <n v="3972.2433333333329"/>
    <n v="1655.5766666666664"/>
    <x v="1"/>
    <x v="6"/>
    <n v="6"/>
    <x v="2"/>
    <x v="2"/>
    <x v="0"/>
    <n v="28.680457280385074"/>
    <n v="11.953622141997592"/>
  </r>
  <r>
    <d v="2023-06-19T00:00:00"/>
    <n v="4053.7600000000007"/>
    <n v="4825"/>
    <n v="771.23999999999933"/>
    <n v="730.19999999999982"/>
    <n v="1200"/>
    <n v="469.80000000000018"/>
    <n v="172.5"/>
    <n v="250"/>
    <n v="77.5"/>
    <n v="2295.833333333333"/>
    <n v="3100"/>
    <n v="804.16666666666708"/>
    <n v="2316.6666666666665"/>
    <n v="9375"/>
    <n v="2122.7066666666665"/>
    <n v="-193.96000000000004"/>
    <x v="1"/>
    <x v="6"/>
    <n v="6"/>
    <x v="2"/>
    <x v="3"/>
    <x v="1"/>
    <n v="22.642204444444442"/>
    <n v="-2.0689066666666673"/>
  </r>
  <r>
    <d v="2023-06-20T00:00:00"/>
    <n v="6165.8000000000011"/>
    <n v="4050"/>
    <n v="-2115.8000000000011"/>
    <n v="1901.5999999999997"/>
    <n v="3600"/>
    <n v="1698.4000000000003"/>
    <n v="0"/>
    <n v="0"/>
    <n v="0"/>
    <n v="2675"/>
    <n v="3590"/>
    <n v="915"/>
    <n v="2316.6666666666665"/>
    <n v="11240"/>
    <n v="497.59999999999923"/>
    <n v="-1819.0666666666673"/>
    <x v="1"/>
    <x v="6"/>
    <n v="6"/>
    <x v="2"/>
    <x v="4"/>
    <x v="1"/>
    <n v="4.427046263345189"/>
    <n v="-16.183867141162519"/>
  </r>
  <r>
    <d v="2023-06-21T00:00:00"/>
    <n v="3148.9250000000011"/>
    <n v="4780"/>
    <n v="1631.0749999999989"/>
    <n v="1622.5"/>
    <n v="3000"/>
    <n v="1377.5"/>
    <n v="0"/>
    <n v="0"/>
    <n v="0"/>
    <n v="2855"/>
    <n v="4000"/>
    <n v="1145"/>
    <n v="2316.6666666666665"/>
    <n v="11780"/>
    <n v="4153.5749999999989"/>
    <n v="1836.9083333333324"/>
    <x v="1"/>
    <x v="6"/>
    <n v="6"/>
    <x v="2"/>
    <x v="5"/>
    <x v="0"/>
    <n v="35.259550084889632"/>
    <n v="15.593449349179393"/>
  </r>
  <r>
    <d v="2023-06-22T00:00:00"/>
    <n v="4194.6550000000016"/>
    <n v="3560"/>
    <n v="-634.65500000000156"/>
    <n v="1052.7"/>
    <n v="4500"/>
    <n v="3447.3"/>
    <n v="0"/>
    <n v="0"/>
    <n v="0"/>
    <n v="2716.666666666667"/>
    <n v="3740"/>
    <n v="1023.333333333333"/>
    <n v="2316.6666666666665"/>
    <n v="11800"/>
    <n v="3835.9783333333312"/>
    <n v="1519.3116666666651"/>
    <x v="1"/>
    <x v="6"/>
    <n v="6"/>
    <x v="2"/>
    <x v="6"/>
    <x v="0"/>
    <n v="32.508290960451959"/>
    <n v="12.875522598870043"/>
  </r>
  <r>
    <d v="2023-06-23T00:00:00"/>
    <n v="5192.49"/>
    <n v="8750"/>
    <n v="3557.51"/>
    <n v="2911.3"/>
    <n v="3900"/>
    <n v="988.69999999999982"/>
    <n v="0"/>
    <n v="600"/>
    <n v="600"/>
    <n v="2739.1666666666665"/>
    <n v="3830"/>
    <n v="1090.8333333333337"/>
    <n v="2316.6666666666665"/>
    <n v="17080"/>
    <n v="6237.0433333333331"/>
    <n v="3920.3766666666666"/>
    <x v="1"/>
    <x v="6"/>
    <n v="6"/>
    <x v="2"/>
    <x v="0"/>
    <x v="0"/>
    <n v="36.516647150663545"/>
    <n v="22.953024980483995"/>
  </r>
  <r>
    <d v="2023-06-24T00:00:00"/>
    <n v="6392.0450000000019"/>
    <n v="6580"/>
    <n v="187.95499999999811"/>
    <n v="2442.4"/>
    <n v="4500"/>
    <n v="2057.6"/>
    <n v="312.5"/>
    <n v="1550"/>
    <n v="1237.5"/>
    <n v="3041.6666666666665"/>
    <n v="4090"/>
    <n v="1048.3333333333337"/>
    <n v="2316.6666666666665"/>
    <n v="16720"/>
    <n v="4531.3883333333315"/>
    <n v="2214.721666666665"/>
    <x v="1"/>
    <x v="6"/>
    <n v="6"/>
    <x v="2"/>
    <x v="1"/>
    <x v="0"/>
    <n v="27.101604864433799"/>
    <n v="13.24594298245613"/>
  </r>
  <r>
    <d v="2023-06-25T00:00:00"/>
    <n v="5559.704999999999"/>
    <n v="7690"/>
    <n v="2130.295000000001"/>
    <n v="3864.1750000000006"/>
    <n v="4800"/>
    <n v="935.82499999999891"/>
    <n v="955.43000000000006"/>
    <n v="3550"/>
    <n v="2594.5699999999997"/>
    <n v="3759.166666666667"/>
    <n v="4880"/>
    <n v="1120.833333333333"/>
    <n v="2316.6666666666665"/>
    <n v="20920"/>
    <n v="6781.5233333333326"/>
    <n v="4464.8566666666666"/>
    <x v="1"/>
    <x v="6"/>
    <n v="6"/>
    <x v="2"/>
    <x v="2"/>
    <x v="0"/>
    <n v="32.416459528362012"/>
    <n v="21.342527087316761"/>
  </r>
  <r>
    <d v="2023-06-26T00:00:00"/>
    <n v="6336.9549999999999"/>
    <n v="5730"/>
    <n v="-606.95499999999993"/>
    <n v="2152.4250000000002"/>
    <n v="2700"/>
    <n v="547.57499999999982"/>
    <n v="684.18000000000006"/>
    <n v="2150"/>
    <n v="1465.82"/>
    <n v="2539.166666666667"/>
    <n v="3190"/>
    <n v="650.83333333333303"/>
    <n v="2316.6666666666665"/>
    <n v="13770"/>
    <n v="2057.2733333333326"/>
    <n v="-259.39333333333389"/>
    <x v="1"/>
    <x v="6"/>
    <n v="6"/>
    <x v="2"/>
    <x v="3"/>
    <x v="1"/>
    <n v="14.940256596465742"/>
    <n v="-1.8837569595739572"/>
  </r>
  <r>
    <d v="2023-06-27T00:00:00"/>
    <n v="4842.0449999999992"/>
    <n v="5730"/>
    <n v="887.95500000000084"/>
    <n v="1159.1500000000001"/>
    <n v="1800"/>
    <n v="640.85000000000014"/>
    <n v="370.93"/>
    <n v="1100"/>
    <n v="729.06999999999994"/>
    <n v="2797.5"/>
    <n v="3730"/>
    <n v="932.5"/>
    <n v="2316.6666666666665"/>
    <n v="12360"/>
    <n v="3190.3750000000009"/>
    <n v="873.70833333333439"/>
    <x v="1"/>
    <x v="6"/>
    <n v="6"/>
    <x v="2"/>
    <x v="4"/>
    <x v="0"/>
    <n v="25.81209546925567"/>
    <n v="7.068837648327948"/>
  </r>
  <r>
    <d v="2023-06-28T00:00:00"/>
    <n v="6907.8049999999994"/>
    <n v="9600"/>
    <n v="2692.1950000000006"/>
    <n v="3285.85"/>
    <n v="4800"/>
    <n v="1514.15"/>
    <n v="331.56000000000006"/>
    <n v="1350"/>
    <n v="1018.4399999999999"/>
    <n v="3390.833333333333"/>
    <n v="3950"/>
    <n v="559.16666666666697"/>
    <n v="2316.6666666666665"/>
    <n v="19700"/>
    <n v="5783.9516666666677"/>
    <n v="3467.2850000000012"/>
    <x v="1"/>
    <x v="6"/>
    <n v="6"/>
    <x v="2"/>
    <x v="5"/>
    <x v="0"/>
    <n v="29.360160744500853"/>
    <n v="17.600431472081222"/>
  </r>
  <r>
    <d v="2023-06-29T00:00:00"/>
    <n v="5663.55"/>
    <n v="8840"/>
    <n v="3176.45"/>
    <n v="2058.7999999999997"/>
    <n v="3600"/>
    <n v="1541.2000000000005"/>
    <n v="194.06000000000003"/>
    <n v="1350"/>
    <n v="1155.94"/>
    <n v="5109.166666666667"/>
    <n v="6680"/>
    <n v="1570.833333333333"/>
    <n v="2316.6666666666665"/>
    <n v="20470"/>
    <n v="7444.4233333333332"/>
    <n v="5127.7566666666662"/>
    <x v="1"/>
    <x v="6"/>
    <n v="6"/>
    <x v="2"/>
    <x v="6"/>
    <x v="0"/>
    <n v="36.367480866308419"/>
    <n v="25.050105845953425"/>
  </r>
  <r>
    <d v="2023-06-30T00:00:00"/>
    <n v="7356.9800000000014"/>
    <n v="9160"/>
    <n v="1803.0199999999984"/>
    <n v="2370.9"/>
    <n v="4200"/>
    <n v="1829.1"/>
    <n v="149.61000000000001"/>
    <n v="600"/>
    <n v="450.39"/>
    <n v="3076.6666666666665"/>
    <n v="4050"/>
    <n v="973.33333333333348"/>
    <n v="2316.6666666666665"/>
    <n v="18010"/>
    <n v="5055.8433333333323"/>
    <n v="2739.1766666666658"/>
    <x v="1"/>
    <x v="6"/>
    <n v="6"/>
    <x v="2"/>
    <x v="0"/>
    <x v="0"/>
    <n v="28.072422728114006"/>
    <n v="15.209198593374046"/>
  </r>
  <r>
    <d v="2023-07-01T00:00:00"/>
    <n v="5769.2249999999976"/>
    <n v="8940"/>
    <n v="3170.7750000000024"/>
    <n v="2196.1"/>
    <n v="3600"/>
    <n v="1403.9"/>
    <n v="93"/>
    <n v="1800"/>
    <n v="1707"/>
    <n v="4711.6666666666661"/>
    <n v="6170"/>
    <n v="1458.3333333333339"/>
    <n v="2316.6666666666665"/>
    <n v="20510"/>
    <n v="7740.0083333333378"/>
    <n v="5423.3416666666708"/>
    <x v="1"/>
    <x v="7"/>
    <n v="7"/>
    <x v="3"/>
    <x v="1"/>
    <x v="0"/>
    <n v="37.737729562814906"/>
    <n v="26.442426458638085"/>
  </r>
  <r>
    <d v="2023-07-02T00:00:00"/>
    <n v="6900.5250000000024"/>
    <n v="6680"/>
    <n v="-220.52500000000236"/>
    <n v="2126.25"/>
    <n v="4500"/>
    <n v="2373.75"/>
    <n v="0"/>
    <n v="0"/>
    <n v="0"/>
    <n v="2433.3333333333335"/>
    <n v="3430"/>
    <n v="996.66666666666652"/>
    <n v="2316.6666666666665"/>
    <n v="14610"/>
    <n v="3149.8916666666642"/>
    <n v="833.22499999999764"/>
    <x v="1"/>
    <x v="7"/>
    <n v="7"/>
    <x v="3"/>
    <x v="2"/>
    <x v="0"/>
    <n v="21.55983344741043"/>
    <n v="5.703114305270347"/>
  </r>
  <r>
    <d v="2023-07-03T00:00:00"/>
    <n v="5693.44"/>
    <n v="10950"/>
    <n v="5256.56"/>
    <n v="1276.8249999999998"/>
    <n v="1500"/>
    <n v="223.17500000000015"/>
    <n v="23"/>
    <n v="350"/>
    <n v="327"/>
    <n v="3655.8333333333335"/>
    <n v="4810"/>
    <n v="1154.1666666666663"/>
    <n v="2316.6666666666665"/>
    <n v="17610"/>
    <n v="6960.9016666666666"/>
    <n v="4644.2350000000006"/>
    <x v="1"/>
    <x v="7"/>
    <n v="7"/>
    <x v="3"/>
    <x v="3"/>
    <x v="0"/>
    <n v="39.528118493280331"/>
    <n v="26.37271436683703"/>
  </r>
  <r>
    <d v="2023-07-04T00:00:00"/>
    <n v="3889.29"/>
    <n v="4200"/>
    <n v="310.71000000000004"/>
    <n v="2181.7250000000004"/>
    <n v="5400"/>
    <n v="3218.2749999999996"/>
    <n v="0"/>
    <n v="0"/>
    <n v="0"/>
    <n v="3164.166666666667"/>
    <n v="4370"/>
    <n v="1205.833333333333"/>
    <n v="2316.6666666666665"/>
    <n v="13970"/>
    <n v="4734.8183333333327"/>
    <n v="2418.1516666666662"/>
    <x v="1"/>
    <x v="7"/>
    <n v="7"/>
    <x v="3"/>
    <x v="4"/>
    <x v="0"/>
    <n v="33.892758291577188"/>
    <n v="17.309603913147217"/>
  </r>
  <r>
    <d v="2023-07-12T00:00:00"/>
    <n v="5237.3849999999984"/>
    <n v="8720"/>
    <n v="3482.6150000000016"/>
    <n v="2749.6749999999997"/>
    <n v="5700"/>
    <n v="2950.3250000000003"/>
    <n v="172.5"/>
    <n v="800"/>
    <n v="627.5"/>
    <n v="2032.5"/>
    <n v="2650"/>
    <n v="617.5"/>
    <n v="2316.6666666666665"/>
    <n v="17870"/>
    <n v="7677.9400000000014"/>
    <n v="5361.2733333333363"/>
    <x v="1"/>
    <x v="7"/>
    <n v="7"/>
    <x v="3"/>
    <x v="5"/>
    <x v="0"/>
    <n v="42.965528819250146"/>
    <n v="30.001529565379609"/>
  </r>
  <r>
    <d v="2023-07-13T00:00:00"/>
    <n v="5542.744999999999"/>
    <n v="5630"/>
    <n v="87.255000000001019"/>
    <n v="4806.5350000000008"/>
    <n v="8100"/>
    <n v="3293.4649999999992"/>
    <n v="81"/>
    <n v="1000"/>
    <n v="919"/>
    <n v="2959.9999999999995"/>
    <n v="4030"/>
    <n v="1070.0000000000005"/>
    <n v="2316.6666666666665"/>
    <n v="18760"/>
    <n v="5369.7200000000012"/>
    <n v="3053.0533333333342"/>
    <x v="1"/>
    <x v="7"/>
    <n v="7"/>
    <x v="3"/>
    <x v="6"/>
    <x v="0"/>
    <n v="28.623240938166315"/>
    <n v="16.274271499644637"/>
  </r>
  <r>
    <d v="2023-07-14T00:00:00"/>
    <n v="5917.1050000000005"/>
    <n v="9670"/>
    <n v="3752.8949999999991"/>
    <n v="1471.4899999999996"/>
    <n v="2100"/>
    <n v="628.51000000000045"/>
    <n v="35"/>
    <n v="600"/>
    <n v="565"/>
    <n v="1805"/>
    <n v="2440"/>
    <n v="635.00000000000023"/>
    <n v="2316.6666666666665"/>
    <n v="14810"/>
    <n v="5581.4049999999997"/>
    <n v="3264.7383333333332"/>
    <x v="1"/>
    <x v="7"/>
    <n v="7"/>
    <x v="3"/>
    <x v="0"/>
    <x v="0"/>
    <n v="37.686731937879806"/>
    <n v="22.044148098131892"/>
  </r>
  <r>
    <d v="2023-07-15T00:00:00"/>
    <n v="4943.8149999999987"/>
    <n v="4730"/>
    <n v="-213.81499999999869"/>
    <n v="1230.0750000000005"/>
    <n v="1500"/>
    <n v="269.92499999999973"/>
    <n v="69"/>
    <n v="1050"/>
    <n v="981"/>
    <n v="2207.4999999999995"/>
    <n v="3000"/>
    <n v="792.50000000000045"/>
    <n v="2316.6666666666665"/>
    <n v="10280"/>
    <n v="1829.6100000000015"/>
    <n v="-487.05666666666502"/>
    <x v="1"/>
    <x v="7"/>
    <n v="7"/>
    <x v="3"/>
    <x v="1"/>
    <x v="1"/>
    <n v="17.79776264591441"/>
    <n v="-4.7379053177691155"/>
  </r>
  <r>
    <d v="2023-07-16T00:00:00"/>
    <n v="5304.1950000000006"/>
    <n v="5440"/>
    <n v="135.80499999999938"/>
    <n v="2066.7999999999997"/>
    <n v="3600"/>
    <n v="1533.2000000000005"/>
    <n v="0"/>
    <n v="0"/>
    <n v="0"/>
    <n v="3765.833333333333"/>
    <n v="4950"/>
    <n v="1184.166666666667"/>
    <n v="2316.6666666666665"/>
    <n v="13990"/>
    <n v="2853.1716666666666"/>
    <n v="536.50500000000011"/>
    <x v="1"/>
    <x v="7"/>
    <n v="7"/>
    <x v="3"/>
    <x v="2"/>
    <x v="0"/>
    <n v="20.394365022635217"/>
    <n v="3.8349177984274485"/>
  </r>
  <r>
    <d v="2023-07-17T00:00:00"/>
    <n v="4696.2450000000008"/>
    <n v="5620"/>
    <n v="923.7549999999992"/>
    <n v="2554.3000000000002"/>
    <n v="3600"/>
    <n v="1045.6999999999998"/>
    <n v="128"/>
    <n v="2150"/>
    <n v="2022"/>
    <n v="2615.8333333333335"/>
    <n v="3830"/>
    <n v="1214.1666666666663"/>
    <n v="2316.6666666666665"/>
    <n v="15200"/>
    <n v="5205.621666666666"/>
    <n v="2888.9549999999995"/>
    <x v="1"/>
    <x v="7"/>
    <n v="7"/>
    <x v="3"/>
    <x v="3"/>
    <x v="0"/>
    <n v="34.247510964912273"/>
    <n v="19.006282894736838"/>
  </r>
  <r>
    <d v="2023-07-18T00:00:00"/>
    <n v="4930.04"/>
    <n v="4420"/>
    <n v="-510.04"/>
    <n v="2549.5000000000005"/>
    <n v="3900"/>
    <n v="1350.4999999999995"/>
    <n v="151"/>
    <n v="1900"/>
    <n v="1749"/>
    <n v="2290.833333333333"/>
    <n v="3100"/>
    <n v="809.16666666666708"/>
    <n v="2316.6666666666665"/>
    <n v="13320"/>
    <n v="3398.6266666666666"/>
    <n v="1081.96"/>
    <x v="1"/>
    <x v="7"/>
    <n v="7"/>
    <x v="3"/>
    <x v="4"/>
    <x v="0"/>
    <n v="25.515215215215214"/>
    <n v="8.1228228228228225"/>
  </r>
  <r>
    <d v="2023-07-19T00:00:00"/>
    <n v="5076.1400000000003"/>
    <n v="6650"/>
    <n v="1573.8599999999997"/>
    <n v="2079.9750000000004"/>
    <n v="3000"/>
    <n v="920.02499999999964"/>
    <n v="81"/>
    <n v="1000"/>
    <n v="919"/>
    <n v="1145.8333333333333"/>
    <n v="1510"/>
    <n v="364.16666666666674"/>
    <n v="2316.6666666666665"/>
    <n v="12160"/>
    <n v="3777.0516666666663"/>
    <n v="1460.3849999999998"/>
    <x v="1"/>
    <x v="7"/>
    <n v="7"/>
    <x v="3"/>
    <x v="5"/>
    <x v="0"/>
    <n v="31.061280153508768"/>
    <n v="12.009745065789472"/>
  </r>
  <r>
    <d v="2023-07-20T00:00:00"/>
    <n v="5578.9830000000002"/>
    <n v="9830"/>
    <n v="4251.0169999999998"/>
    <n v="1093.6600000000001"/>
    <n v="600"/>
    <n v="-493.65999999999985"/>
    <n v="104"/>
    <n v="1350"/>
    <n v="1246"/>
    <n v="1615"/>
    <n v="2100"/>
    <n v="485"/>
    <n v="2316.6666666666665"/>
    <n v="13880"/>
    <n v="5488.357"/>
    <n v="3171.6903333333335"/>
    <x v="1"/>
    <x v="7"/>
    <n v="7"/>
    <x v="3"/>
    <x v="6"/>
    <x v="0"/>
    <n v="39.541476945244959"/>
    <n v="22.850794908741594"/>
  </r>
  <r>
    <d v="2023-07-21T00:00:00"/>
    <n v="4124.9120000000003"/>
    <n v="4990"/>
    <n v="865.08799999999962"/>
    <n v="2237.8500000000004"/>
    <n v="3500"/>
    <n v="1262.1499999999996"/>
    <n v="23"/>
    <n v="350"/>
    <n v="327"/>
    <n v="3858.3333333333335"/>
    <n v="5000"/>
    <n v="1141.6666666666663"/>
    <n v="2316.6666666666665"/>
    <n v="13840"/>
    <n v="3595.9046666666659"/>
    <n v="1279.2379999999994"/>
    <x v="1"/>
    <x v="7"/>
    <n v="7"/>
    <x v="3"/>
    <x v="0"/>
    <x v="0"/>
    <n v="25.981970134874754"/>
    <n v="9.2430491329479718"/>
  </r>
  <r>
    <d v="2023-07-22T00:00:00"/>
    <n v="4929.4250000000002"/>
    <n v="7130"/>
    <n v="2200.5749999999998"/>
    <n v="4178.01"/>
    <n v="6800"/>
    <n v="2621.99"/>
    <n v="198"/>
    <n v="2600"/>
    <n v="2402"/>
    <n v="2402.5"/>
    <n v="3160"/>
    <n v="757.5"/>
    <n v="2316.6666666666665"/>
    <n v="19690"/>
    <n v="7982.0649999999996"/>
    <n v="5665.3983333333326"/>
    <x v="1"/>
    <x v="7"/>
    <n v="7"/>
    <x v="3"/>
    <x v="1"/>
    <x v="0"/>
    <n v="40.538674454037583"/>
    <n v="28.772972744201791"/>
  </r>
  <r>
    <d v="2023-07-23T00:00:00"/>
    <n v="6159.585"/>
    <n v="6600"/>
    <n v="440.41500000000002"/>
    <n v="3225.5249999999996"/>
    <n v="5600"/>
    <n v="2374.4750000000004"/>
    <n v="70"/>
    <n v="600"/>
    <n v="530"/>
    <n v="2314.9999999999995"/>
    <n v="2890"/>
    <n v="575.00000000000045"/>
    <n v="2316.6666666666665"/>
    <n v="15690"/>
    <n v="3919.8900000000008"/>
    <n v="1603.2233333333345"/>
    <x v="1"/>
    <x v="7"/>
    <n v="7"/>
    <x v="3"/>
    <x v="2"/>
    <x v="0"/>
    <n v="24.983365200764823"/>
    <n v="10.218121946037824"/>
  </r>
  <r>
    <d v="2023-07-24T00:00:00"/>
    <n v="5026.7259999999997"/>
    <n v="7460"/>
    <n v="2433.2740000000003"/>
    <n v="1525.7999999999995"/>
    <n v="2000"/>
    <n v="474.20000000000022"/>
    <n v="93"/>
    <n v="900"/>
    <n v="807"/>
    <n v="1954.1666666666667"/>
    <n v="2660"/>
    <n v="705.83333333333326"/>
    <n v="2316.6666666666665"/>
    <n v="13020"/>
    <n v="4420.3073333333341"/>
    <n v="2103.6406666666676"/>
    <x v="1"/>
    <x v="7"/>
    <n v="7"/>
    <x v="3"/>
    <x v="3"/>
    <x v="0"/>
    <n v="33.950133128520235"/>
    <n v="16.156994367639534"/>
  </r>
  <r>
    <d v="2023-07-25T00:00:00"/>
    <n v="4321.4649999999992"/>
    <n v="7000"/>
    <n v="2678.5350000000008"/>
    <n v="2074.3500000000004"/>
    <n v="3800"/>
    <n v="1725.6499999999996"/>
    <n v="35"/>
    <n v="650"/>
    <n v="615"/>
    <n v="2175.8333333333335"/>
    <n v="2880"/>
    <n v="704.16666666666652"/>
    <n v="2316.6666666666665"/>
    <n v="14330"/>
    <n v="5723.3516666666674"/>
    <n v="3406.6850000000009"/>
    <x v="1"/>
    <x v="7"/>
    <n v="7"/>
    <x v="3"/>
    <x v="4"/>
    <x v="0"/>
    <n v="39.939648755524544"/>
    <n v="23.77309839497558"/>
  </r>
  <r>
    <d v="2023-07-26T00:00:00"/>
    <n v="5718.915"/>
    <n v="4040"/>
    <n v="-1678.915"/>
    <n v="2461.7750000000005"/>
    <n v="3000"/>
    <n v="538.22499999999945"/>
    <n v="373"/>
    <n v="3850"/>
    <n v="3477"/>
    <n v="2218.333333333333"/>
    <n v="2800"/>
    <n v="581.66666666666697"/>
    <n v="2316.6666666666665"/>
    <n v="13690"/>
    <n v="2917.9766666666665"/>
    <n v="601.30999999999995"/>
    <x v="1"/>
    <x v="7"/>
    <n v="7"/>
    <x v="3"/>
    <x v="5"/>
    <x v="0"/>
    <n v="21.314657901144386"/>
    <n v="4.3923301680058433"/>
  </r>
  <r>
    <d v="2023-07-27T00:00:00"/>
    <n v="5943.0499999999984"/>
    <n v="8080"/>
    <n v="2136.9500000000016"/>
    <n v="2851.2000000000003"/>
    <n v="4000"/>
    <n v="1148.7999999999995"/>
    <n v="151"/>
    <n v="1850"/>
    <n v="1699"/>
    <n v="3205.8333333333335"/>
    <n v="4100"/>
    <n v="894.16666666666652"/>
    <n v="2316.6666666666665"/>
    <n v="18030"/>
    <n v="5878.9166666666679"/>
    <n v="3562.2500000000018"/>
    <x v="1"/>
    <x v="7"/>
    <n v="7"/>
    <x v="3"/>
    <x v="6"/>
    <x v="0"/>
    <n v="32.606304307635433"/>
    <n v="19.757348863006111"/>
  </r>
  <r>
    <d v="2023-07-28T00:00:00"/>
    <n v="4531.8900000000003"/>
    <n v="4770"/>
    <n v="238.10999999999967"/>
    <n v="2779.7749999999987"/>
    <n v="4600"/>
    <n v="1820.2250000000013"/>
    <n v="116"/>
    <n v="1300"/>
    <n v="1184"/>
    <n v="2664.166666666667"/>
    <n v="3370"/>
    <n v="705.83333333333303"/>
    <n v="2316.6666666666665"/>
    <n v="14040"/>
    <n v="3948.168333333334"/>
    <n v="1631.5016666666677"/>
    <x v="1"/>
    <x v="7"/>
    <n v="7"/>
    <x v="3"/>
    <x v="0"/>
    <x v="0"/>
    <n v="28.120857075023746"/>
    <n v="11.620382241215582"/>
  </r>
  <r>
    <d v="2023-07-29T00:00:00"/>
    <n v="3547.9599999999987"/>
    <n v="7160"/>
    <n v="3612.0400000000018"/>
    <n v="2102.5499999999997"/>
    <n v="2900"/>
    <n v="797.45000000000027"/>
    <n v="174"/>
    <n v="1950"/>
    <n v="1776"/>
    <n v="2066.6666666666665"/>
    <n v="2720"/>
    <n v="653.33333333333348"/>
    <n v="2316.6666666666665"/>
    <n v="14730"/>
    <n v="6838.8233333333355"/>
    <n v="4522.1566666666695"/>
    <x v="1"/>
    <x v="7"/>
    <n v="7"/>
    <x v="3"/>
    <x v="1"/>
    <x v="0"/>
    <n v="46.427856981217488"/>
    <n v="30.700316813758789"/>
  </r>
  <r>
    <d v="2023-07-30T00:00:00"/>
    <n v="4752.8849999999993"/>
    <n v="8760"/>
    <n v="4007.1150000000007"/>
    <n v="4867.8249999999989"/>
    <n v="4300"/>
    <n v="-567.82499999999891"/>
    <n v="497.75"/>
    <n v="5100"/>
    <n v="4602.25"/>
    <n v="3428.3333333333335"/>
    <n v="4400"/>
    <n v="971.66666666666652"/>
    <n v="2316.6666666666665"/>
    <n v="22560"/>
    <n v="9013.2066666666688"/>
    <n v="6696.5400000000027"/>
    <x v="1"/>
    <x v="7"/>
    <n v="7"/>
    <x v="3"/>
    <x v="2"/>
    <x v="0"/>
    <n v="39.9521572104019"/>
    <n v="29.683244680851072"/>
  </r>
  <r>
    <d v="2023-07-31T00:00:00"/>
    <n v="6232.8"/>
    <n v="7290"/>
    <n v="1057.1999999999998"/>
    <n v="1663.2499999999998"/>
    <n v="2500"/>
    <n v="836.75000000000011"/>
    <n v="105"/>
    <n v="1150"/>
    <n v="1045"/>
    <n v="2252.4999999999995"/>
    <n v="2850"/>
    <n v="597.50000000000045"/>
    <n v="2316.6666666666665"/>
    <n v="13790"/>
    <n v="3536.4500000000003"/>
    <n v="1219.7833333333338"/>
    <x v="1"/>
    <x v="7"/>
    <n v="7"/>
    <x v="3"/>
    <x v="3"/>
    <x v="0"/>
    <n v="25.645032632342279"/>
    <n v="8.8454193860285262"/>
  </r>
  <r>
    <d v="2023-08-01T00:00:00"/>
    <n v="5172.2249999999995"/>
    <n v="6190"/>
    <n v="1017.7750000000004"/>
    <n v="3327.7249999999999"/>
    <n v="5900"/>
    <n v="2572.2750000000001"/>
    <n v="783"/>
    <n v="2920"/>
    <n v="2137"/>
    <n v="3302.5"/>
    <n v="4310"/>
    <n v="1007.5"/>
    <n v="2316.6666666666665"/>
    <n v="19320"/>
    <n v="6734.5500000000011"/>
    <n v="4417.883333333335"/>
    <x v="1"/>
    <x v="8"/>
    <n v="8"/>
    <x v="3"/>
    <x v="4"/>
    <x v="0"/>
    <n v="34.857919254658391"/>
    <n v="22.866890959282273"/>
  </r>
  <r>
    <d v="2023-08-02T00:00:00"/>
    <n v="4654.0600000000004"/>
    <n v="9130"/>
    <n v="4475.9399999999996"/>
    <n v="3762.95"/>
    <n v="4900"/>
    <n v="1137.0499999999995"/>
    <n v="221"/>
    <n v="2950"/>
    <n v="2729"/>
    <n v="2728.333333333333"/>
    <n v="3590"/>
    <n v="861.66666666666708"/>
    <n v="2316.6666666666665"/>
    <n v="20570"/>
    <n v="9203.6566666666658"/>
    <n v="6886.99"/>
    <x v="1"/>
    <x v="8"/>
    <n v="8"/>
    <x v="3"/>
    <x v="5"/>
    <x v="0"/>
    <n v="44.743104845243877"/>
    <n v="33.4807486631016"/>
  </r>
  <r>
    <d v="2023-08-03T00:00:00"/>
    <n v="3820.2849999999999"/>
    <n v="5130"/>
    <n v="1309.7149999999997"/>
    <n v="2675.7"/>
    <n v="2700"/>
    <n v="24.300000000000185"/>
    <n v="105"/>
    <n v="1150"/>
    <n v="1045"/>
    <n v="3571.6666666666665"/>
    <n v="4670"/>
    <n v="1098.3333333333337"/>
    <n v="2316.6666666666665"/>
    <n v="13650"/>
    <n v="3477.3483333333338"/>
    <n v="1160.6816666666668"/>
    <x v="1"/>
    <x v="8"/>
    <n v="8"/>
    <x v="3"/>
    <x v="6"/>
    <x v="0"/>
    <n v="25.475079365079367"/>
    <n v="8.5031623931623947"/>
  </r>
  <r>
    <d v="2023-08-04T00:00:00"/>
    <n v="5945.9699999999984"/>
    <n v="11460"/>
    <n v="5514.0300000000016"/>
    <n v="4639.1250000000009"/>
    <n v="7800"/>
    <n v="3160.8749999999991"/>
    <n v="210"/>
    <n v="2050"/>
    <n v="1840"/>
    <n v="3417.4999999999995"/>
    <n v="4390"/>
    <n v="972.50000000000045"/>
    <n v="2316.6666666666665"/>
    <n v="25700"/>
    <n v="11487.405000000001"/>
    <n v="9170.7383333333346"/>
    <x v="1"/>
    <x v="8"/>
    <n v="8"/>
    <x v="3"/>
    <x v="0"/>
    <x v="0"/>
    <n v="44.69807392996109"/>
    <n v="35.683806744487683"/>
  </r>
  <r>
    <d v="2023-08-05T00:00:00"/>
    <n v="5388.7699999999986"/>
    <n v="8850"/>
    <n v="3461.2300000000014"/>
    <n v="2556.4499999999998"/>
    <n v="3600"/>
    <n v="1043.5500000000002"/>
    <n v="105"/>
    <n v="900"/>
    <n v="795"/>
    <n v="4547.5"/>
    <n v="5990"/>
    <n v="1442.5"/>
    <n v="2316.6666666666665"/>
    <n v="19340"/>
    <n v="6742.2800000000016"/>
    <n v="4425.6133333333346"/>
    <x v="1"/>
    <x v="8"/>
    <n v="8"/>
    <x v="3"/>
    <x v="1"/>
    <x v="0"/>
    <n v="34.861840744570841"/>
    <n v="22.883212685280942"/>
  </r>
  <r>
    <d v="2023-08-06T00:00:00"/>
    <n v="6778.8249999999989"/>
    <n v="9910"/>
    <n v="3131.1750000000011"/>
    <n v="1810.4749999999999"/>
    <n v="2400"/>
    <n v="589.52500000000009"/>
    <n v="35"/>
    <n v="300"/>
    <n v="265"/>
    <n v="3127.4999999999995"/>
    <n v="4190"/>
    <n v="1062.5000000000005"/>
    <n v="2316.6666666666665"/>
    <n v="16800"/>
    <n v="5048.2000000000016"/>
    <n v="2731.5333333333351"/>
    <x v="1"/>
    <x v="8"/>
    <n v="8"/>
    <x v="3"/>
    <x v="2"/>
    <x v="0"/>
    <n v="30.048809523809535"/>
    <n v="16.259126984126997"/>
  </r>
  <r>
    <d v="2023-08-07T00:00:00"/>
    <n v="6108.8050000000003"/>
    <n v="5760"/>
    <n v="-348.80500000000029"/>
    <n v="4392.4000000000005"/>
    <n v="7800"/>
    <n v="3407.5999999999995"/>
    <n v="356.86"/>
    <n v="1950"/>
    <n v="1593.1399999999999"/>
    <n v="4403.333333333333"/>
    <n v="5710"/>
    <n v="1306.666666666667"/>
    <n v="2316.6666666666665"/>
    <n v="21220"/>
    <n v="5958.6016666666665"/>
    <n v="3641.9349999999999"/>
    <x v="1"/>
    <x v="8"/>
    <n v="8"/>
    <x v="3"/>
    <x v="3"/>
    <x v="0"/>
    <n v="28.080120955073827"/>
    <n v="17.16274740810556"/>
  </r>
  <r>
    <d v="2023-08-08T00:00:00"/>
    <n v="5766.3050000000012"/>
    <n v="9030"/>
    <n v="3263.6949999999988"/>
    <n v="1588.5250000000003"/>
    <n v="1400"/>
    <n v="-188.52500000000032"/>
    <n v="128"/>
    <n v="1250"/>
    <n v="1122"/>
    <n v="3000.8333333333335"/>
    <n v="3960"/>
    <n v="959.16666666666652"/>
    <n v="2316.6666666666665"/>
    <n v="15640"/>
    <n v="5156.3366666666643"/>
    <n v="2839.6699999999978"/>
    <x v="1"/>
    <x v="8"/>
    <n v="8"/>
    <x v="3"/>
    <x v="4"/>
    <x v="0"/>
    <n v="32.968904518329055"/>
    <n v="18.156457800511493"/>
  </r>
  <r>
    <d v="2023-08-09T00:00:00"/>
    <n v="5715.8189999999995"/>
    <n v="8860"/>
    <n v="3144.1810000000005"/>
    <n v="1919.45"/>
    <n v="1700"/>
    <n v="-219.44999999999985"/>
    <n v="70"/>
    <n v="600"/>
    <n v="530"/>
    <n v="3862.4999999999991"/>
    <n v="5140"/>
    <n v="1277.5000000000005"/>
    <n v="2316.6666666666665"/>
    <n v="16300"/>
    <n v="4732.2310000000016"/>
    <n v="2415.5643333333351"/>
    <x v="1"/>
    <x v="8"/>
    <n v="8"/>
    <x v="3"/>
    <x v="5"/>
    <x v="0"/>
    <n v="29.032092024539885"/>
    <n v="14.819413087934571"/>
  </r>
  <r>
    <d v="2023-08-10T00:00:00"/>
    <n v="4992.3960000000006"/>
    <n v="5740"/>
    <n v="747.60399999999936"/>
    <n v="1950.8050000000001"/>
    <n v="2300"/>
    <n v="349.19499999999994"/>
    <n v="105"/>
    <n v="1150"/>
    <n v="1045"/>
    <n v="2878.3333333333339"/>
    <n v="3840"/>
    <n v="961.66666666666606"/>
    <n v="2316.6666666666665"/>
    <n v="13030"/>
    <n v="3103.4656666666651"/>
    <n v="786.79899999999861"/>
    <x v="1"/>
    <x v="8"/>
    <n v="8"/>
    <x v="3"/>
    <x v="6"/>
    <x v="0"/>
    <n v="23.817848554617537"/>
    <n v="6.0383653108211712"/>
  </r>
  <r>
    <d v="2023-08-11T00:00:00"/>
    <n v="5084.1449999999995"/>
    <n v="10350"/>
    <n v="5265.8550000000005"/>
    <n v="1609.5750000000005"/>
    <n v="2300"/>
    <n v="690.42499999999973"/>
    <n v="0"/>
    <n v="0"/>
    <n v="0"/>
    <n v="2078.3333333333335"/>
    <n v="2920"/>
    <n v="841.66666666666652"/>
    <n v="2316.6666666666665"/>
    <n v="15570"/>
    <n v="6797.9466666666667"/>
    <n v="4481.2800000000007"/>
    <x v="1"/>
    <x v="8"/>
    <n v="8"/>
    <x v="3"/>
    <x v="0"/>
    <x v="0"/>
    <n v="43.660543780774994"/>
    <n v="28.781502890173417"/>
  </r>
  <r>
    <d v="2023-08-12T00:00:00"/>
    <n v="5927.329999999999"/>
    <n v="6990"/>
    <n v="1062.670000000001"/>
    <n v="1926.925"/>
    <n v="2100"/>
    <n v="173.07500000000005"/>
    <n v="70"/>
    <n v="300"/>
    <n v="230"/>
    <n v="3352.5"/>
    <n v="3830"/>
    <n v="477.5"/>
    <n v="2316.6666666666665"/>
    <n v="13220"/>
    <n v="1943.245000000001"/>
    <n v="-373.42166666666554"/>
    <x v="1"/>
    <x v="8"/>
    <n v="8"/>
    <x v="3"/>
    <x v="1"/>
    <x v="1"/>
    <n v="14.699281391830569"/>
    <n v="-2.8246722138174398"/>
  </r>
  <r>
    <d v="2023-08-13T00:00:00"/>
    <n v="5174.9100000000026"/>
    <n v="6900"/>
    <n v="1725.0899999999974"/>
    <n v="4036.32"/>
    <n v="6300"/>
    <n v="2263.6800000000003"/>
    <n v="186"/>
    <n v="1900"/>
    <n v="1714"/>
    <n v="3346.6666666666665"/>
    <n v="4600"/>
    <n v="1253.3333333333337"/>
    <n v="2316.6666666666665"/>
    <n v="19700"/>
    <n v="6956.1033333333307"/>
    <n v="4639.4366666666647"/>
    <x v="1"/>
    <x v="8"/>
    <n v="8"/>
    <x v="3"/>
    <x v="2"/>
    <x v="0"/>
    <n v="35.310169204737718"/>
    <n v="23.550439932318096"/>
  </r>
  <r>
    <d v="2023-08-14T00:00:00"/>
    <n v="8852.2199999999975"/>
    <n v="10750"/>
    <n v="1897.7800000000025"/>
    <n v="4534.76"/>
    <n v="6500"/>
    <n v="1965.24"/>
    <n v="46"/>
    <n v="700"/>
    <n v="654"/>
    <n v="2179.1666666666665"/>
    <n v="3000"/>
    <n v="820.83333333333348"/>
    <n v="2316.6666666666665"/>
    <n v="20950"/>
    <n v="5337.8533333333362"/>
    <n v="3021.1866666666697"/>
    <x v="1"/>
    <x v="8"/>
    <n v="8"/>
    <x v="3"/>
    <x v="3"/>
    <x v="0"/>
    <n v="25.479013524264133"/>
    <n v="14.420938743038997"/>
  </r>
  <r>
    <d v="2023-08-15T00:00:00"/>
    <n v="5198.2400000000007"/>
    <n v="8680"/>
    <n v="3481.7599999999993"/>
    <n v="1710.2250000000004"/>
    <n v="1700"/>
    <n v="-10.225000000000364"/>
    <n v="35"/>
    <n v="550"/>
    <n v="515"/>
    <n v="2376.6666666666665"/>
    <n v="3280"/>
    <n v="903.33333333333348"/>
    <n v="2316.6666666666665"/>
    <n v="14210"/>
    <n v="4889.868333333332"/>
    <n v="2573.2016666666655"/>
    <x v="1"/>
    <x v="8"/>
    <n v="8"/>
    <x v="3"/>
    <x v="4"/>
    <x v="0"/>
    <n v="34.411459066385163"/>
    <n v="18.108386113065908"/>
  </r>
  <r>
    <d v="2023-08-16T00:00:00"/>
    <n v="6455.53"/>
    <n v="9440"/>
    <n v="2984.4700000000003"/>
    <n v="3992.4749999999999"/>
    <n v="4100"/>
    <n v="107.52500000000008"/>
    <n v="232"/>
    <n v="2600"/>
    <n v="2368"/>
    <n v="4180"/>
    <n v="5180"/>
    <n v="1000"/>
    <n v="2316.6666666666665"/>
    <n v="21320"/>
    <n v="6459.9950000000008"/>
    <n v="4143.3283333333347"/>
    <x v="1"/>
    <x v="8"/>
    <n v="8"/>
    <x v="3"/>
    <x v="5"/>
    <x v="0"/>
    <n v="30.300164165103194"/>
    <n v="19.433997811131963"/>
  </r>
  <r>
    <d v="2023-08-17T00:00:00"/>
    <n v="6074.6090000000004"/>
    <n v="9290"/>
    <n v="3215.3909999999996"/>
    <n v="3482.28"/>
    <n v="5970"/>
    <n v="2487.7199999999998"/>
    <n v="0"/>
    <n v="0"/>
    <n v="0"/>
    <n v="2018.3333333333337"/>
    <n v="2520"/>
    <n v="501.66666666666657"/>
    <n v="2150"/>
    <n v="17780"/>
    <n v="6204.777666666665"/>
    <n v="4054.777666666665"/>
    <x v="1"/>
    <x v="8"/>
    <n v="8"/>
    <x v="3"/>
    <x v="6"/>
    <x v="0"/>
    <n v="34.897512185976744"/>
    <n v="22.805273715785518"/>
  </r>
  <r>
    <d v="2023-08-18T00:00:00"/>
    <n v="5398.5309999999999"/>
    <n v="7120"/>
    <n v="1721.4690000000001"/>
    <n v="2871.7799999999993"/>
    <n v="4670"/>
    <n v="1798.2200000000007"/>
    <n v="40.938000000000002"/>
    <n v="550"/>
    <n v="509.06200000000001"/>
    <n v="3458.333333333333"/>
    <n v="4310"/>
    <n v="851.66666666666708"/>
    <n v="2150"/>
    <n v="16650"/>
    <n v="4880.4176666666681"/>
    <n v="2730.4176666666681"/>
    <x v="1"/>
    <x v="8"/>
    <n v="8"/>
    <x v="3"/>
    <x v="0"/>
    <x v="0"/>
    <n v="29.311817817817825"/>
    <n v="16.398904904904914"/>
  </r>
  <r>
    <d v="2023-08-19T00:00:00"/>
    <n v="6037.5800000000017"/>
    <n v="9500"/>
    <n v="3462.4199999999983"/>
    <n v="3243.13"/>
    <n v="7000"/>
    <n v="3756.87"/>
    <n v="23.033750000000001"/>
    <n v="350"/>
    <n v="326.96625"/>
    <n v="3863.333333333333"/>
    <n v="4840"/>
    <n v="976.66666666666708"/>
    <n v="2150"/>
    <n v="21690"/>
    <n v="8522.9229166666664"/>
    <n v="6372.9229166666664"/>
    <x v="1"/>
    <x v="8"/>
    <n v="8"/>
    <x v="3"/>
    <x v="1"/>
    <x v="0"/>
    <n v="39.294250422621793"/>
    <n v="29.381848394037192"/>
  </r>
  <r>
    <d v="2023-08-20T00:00:00"/>
    <n v="6215.5949999999984"/>
    <n v="3500"/>
    <n v="-2715.5949999999984"/>
    <n v="5289.4599999999982"/>
    <n v="8740"/>
    <n v="3450.5400000000018"/>
    <n v="103.90525000000004"/>
    <n v="1050"/>
    <n v="946.09474999999998"/>
    <n v="3511.666666666667"/>
    <n v="4410"/>
    <n v="898.33333333333292"/>
    <n v="2150"/>
    <n v="17700"/>
    <n v="2579.3730833333366"/>
    <n v="429.37308333333658"/>
    <x v="1"/>
    <x v="8"/>
    <n v="8"/>
    <x v="3"/>
    <x v="2"/>
    <x v="0"/>
    <n v="14.572729284369132"/>
    <n v="2.4258366290019016"/>
  </r>
  <r>
    <d v="2023-08-21T00:00:00"/>
    <n v="5295.6200000000008"/>
    <n v="7360"/>
    <n v="2064.3799999999992"/>
    <n v="3641.2750000000001"/>
    <n v="5000"/>
    <n v="1358.7250000000004"/>
    <n v="159.51650000000001"/>
    <n v="2000"/>
    <n v="1840.4835"/>
    <n v="3340"/>
    <n v="4180"/>
    <n v="840"/>
    <n v="2150"/>
    <n v="18540"/>
    <n v="6103.5884999999998"/>
    <n v="3953.5884999999998"/>
    <x v="1"/>
    <x v="8"/>
    <n v="8"/>
    <x v="3"/>
    <x v="3"/>
    <x v="0"/>
    <n v="32.921189320388351"/>
    <n v="21.324641316073354"/>
  </r>
  <r>
    <d v="2023-08-22T00:00:00"/>
    <n v="6113.7749999999987"/>
    <n v="5780"/>
    <n v="-333.77499999999873"/>
    <n v="4094.9750000000008"/>
    <n v="6000"/>
    <n v="1905.0249999999992"/>
    <n v="428.97474999999997"/>
    <n v="3100"/>
    <n v="2671.0252499999997"/>
    <n v="3346.6666666666665"/>
    <n v="4200"/>
    <n v="853.33333333333348"/>
    <n v="2150"/>
    <n v="19080"/>
    <n v="5095.6085833333345"/>
    <n v="2945.6085833333345"/>
    <x v="1"/>
    <x v="8"/>
    <n v="8"/>
    <x v="3"/>
    <x v="4"/>
    <x v="0"/>
    <n v="26.706543937805737"/>
    <n v="15.438200122292109"/>
  </r>
  <r>
    <d v="2023-08-23T00:00:00"/>
    <n v="4009.43"/>
    <n v="6860"/>
    <n v="2850.57"/>
    <n v="2317.6499999999996"/>
    <n v="2500"/>
    <n v="182.35000000000036"/>
    <n v="-1668.3767500000001"/>
    <n v="2350"/>
    <n v="4018.3767500000004"/>
    <n v="2063.3333333333335"/>
    <n v="2570"/>
    <n v="506.66666666666657"/>
    <n v="2150"/>
    <n v="14280"/>
    <n v="7557.9634166666674"/>
    <n v="5407.9634166666674"/>
    <x v="1"/>
    <x v="8"/>
    <n v="8"/>
    <x v="3"/>
    <x v="5"/>
    <x v="0"/>
    <n v="52.926914682539682"/>
    <n v="37.870892273576104"/>
  </r>
  <r>
    <d v="2023-08-24T00:00:00"/>
    <n v="6005.6300000000019"/>
    <n v="5400"/>
    <n v="-605.63000000000193"/>
    <n v="2132.0749999999994"/>
    <n v="3400"/>
    <n v="1267.9250000000006"/>
    <n v="0"/>
    <n v="0"/>
    <n v="0"/>
    <n v="2580"/>
    <n v="3250"/>
    <n v="670"/>
    <n v="2150"/>
    <n v="12050"/>
    <n v="1332.2949999999987"/>
    <n v="-817.70500000000129"/>
    <x v="1"/>
    <x v="8"/>
    <n v="8"/>
    <x v="3"/>
    <x v="6"/>
    <x v="1"/>
    <n v="11.056390041493765"/>
    <n v="-6.7859336099585166"/>
  </r>
  <r>
    <d v="2023-08-25T00:00:00"/>
    <n v="6706.2049999999999"/>
    <n v="12000"/>
    <n v="5293.7950000000001"/>
    <n v="3280.2750000000005"/>
    <n v="5800"/>
    <n v="2519.7249999999995"/>
    <n v="365.63099999999997"/>
    <n v="1100"/>
    <n v="734.36900000000003"/>
    <n v="3125"/>
    <n v="3900"/>
    <n v="775"/>
    <n v="2150"/>
    <n v="22800"/>
    <n v="9322.8889999999992"/>
    <n v="7172.8889999999992"/>
    <x v="1"/>
    <x v="8"/>
    <n v="8"/>
    <x v="3"/>
    <x v="0"/>
    <x v="0"/>
    <n v="40.889864035087712"/>
    <n v="31.460039473684208"/>
  </r>
  <r>
    <d v="2023-08-26T00:00:00"/>
    <n v="5924.1350000000002"/>
    <n v="7260"/>
    <n v="1335.8649999999998"/>
    <n v="2983.3250000000003"/>
    <n v="4970"/>
    <n v="1986.6749999999995"/>
    <n v="35"/>
    <n v="550"/>
    <n v="515"/>
    <n v="3280"/>
    <n v="4130"/>
    <n v="850"/>
    <n v="2150"/>
    <n v="16910"/>
    <n v="4687.5399999999991"/>
    <n v="2537.5399999999991"/>
    <x v="1"/>
    <x v="8"/>
    <n v="8"/>
    <x v="3"/>
    <x v="1"/>
    <x v="0"/>
    <n v="27.720520402128912"/>
    <n v="15.006150206978115"/>
  </r>
  <r>
    <d v="2023-08-27T00:00:00"/>
    <n v="6028.8849999999993"/>
    <n v="6090"/>
    <n v="61.115000000000691"/>
    <n v="2922.7499999999991"/>
    <n v="3600"/>
    <n v="677.25000000000091"/>
    <n v="1032.7499999999998"/>
    <n v="3150"/>
    <n v="2117.25"/>
    <n v="4271.6666666666661"/>
    <n v="5330"/>
    <n v="1058.3333333333339"/>
    <n v="2150"/>
    <n v="18170"/>
    <n v="3913.9483333333351"/>
    <n v="1763.9483333333355"/>
    <x v="1"/>
    <x v="8"/>
    <n v="8"/>
    <x v="3"/>
    <x v="2"/>
    <x v="0"/>
    <n v="21.54071729957807"/>
    <n v="9.7080260502660174"/>
  </r>
  <r>
    <d v="2023-08-28T00:00:00"/>
    <n v="7040.6550000000016"/>
    <n v="5090"/>
    <n v="-1950.6550000000016"/>
    <n v="5551.5250000000005"/>
    <n v="6560"/>
    <n v="1008.4749999999996"/>
    <n v="809.32000000000016"/>
    <n v="3650"/>
    <n v="2840.68"/>
    <n v="3470"/>
    <n v="4320"/>
    <n v="850"/>
    <n v="2150"/>
    <n v="19620"/>
    <n v="2748.4999999999977"/>
    <n v="598.49999999999773"/>
    <x v="1"/>
    <x v="8"/>
    <n v="8"/>
    <x v="3"/>
    <x v="3"/>
    <x v="0"/>
    <n v="14.008664627930672"/>
    <n v="3.0504587155963185"/>
  </r>
  <r>
    <d v="2023-08-29T00:00:00"/>
    <n v="5603.8550000000005"/>
    <n v="6590"/>
    <n v="986.14499999999953"/>
    <n v="2278"/>
    <n v="2700"/>
    <n v="422"/>
    <n v="88.179999999999879"/>
    <n v="1100"/>
    <n v="1011.8200000000002"/>
    <n v="2606.666666666667"/>
    <n v="3210"/>
    <n v="603.33333333333303"/>
    <n v="2150"/>
    <n v="13600"/>
    <n v="3023.2983333333327"/>
    <n v="873.29833333333283"/>
    <x v="1"/>
    <x v="8"/>
    <n v="8"/>
    <x v="3"/>
    <x v="4"/>
    <x v="0"/>
    <n v="22.230134803921565"/>
    <n v="6.4213112745098"/>
  </r>
  <r>
    <d v="2023-08-30T00:00:00"/>
    <n v="5720.98"/>
    <n v="7610"/>
    <n v="1889.0200000000004"/>
    <n v="2358.5250000000001"/>
    <n v="2600"/>
    <n v="241.47499999999991"/>
    <n v="480.50000000000011"/>
    <n v="2350"/>
    <n v="1869.5"/>
    <n v="2213.3333333333335"/>
    <n v="2800"/>
    <n v="586.66666666666652"/>
    <n v="2150"/>
    <n v="15360"/>
    <n v="4586.6616666666669"/>
    <n v="2436.6616666666669"/>
    <x v="1"/>
    <x v="8"/>
    <n v="8"/>
    <x v="3"/>
    <x v="5"/>
    <x v="0"/>
    <n v="29.861078559027781"/>
    <n v="15.863682725694444"/>
  </r>
  <r>
    <d v="2023-08-31T00:00:00"/>
    <n v="5524.0449999999992"/>
    <n v="8300"/>
    <n v="2775.9550000000008"/>
    <n v="3549.7900000000004"/>
    <n v="6300"/>
    <n v="2750.2099999999996"/>
    <n v="367.40000000000003"/>
    <n v="1650"/>
    <n v="1282.5999999999999"/>
    <n v="4740.0000000000009"/>
    <n v="5900"/>
    <n v="1159.9999999999991"/>
    <n v="2150"/>
    <n v="22150"/>
    <n v="7968.7650000000003"/>
    <n v="5818.7650000000003"/>
    <x v="1"/>
    <x v="8"/>
    <n v="8"/>
    <x v="3"/>
    <x v="6"/>
    <x v="0"/>
    <n v="35.97636568848759"/>
    <n v="26.269819413092556"/>
  </r>
  <r>
    <d v="2023-09-01T00:00:00"/>
    <n v="6619.8950000000032"/>
    <n v="9150"/>
    <n v="2530.1049999999968"/>
    <n v="3603.61"/>
    <n v="5100"/>
    <n v="1496.3900000000003"/>
    <n v="520.82999999999993"/>
    <n v="2800"/>
    <n v="2279.17"/>
    <n v="2838.3333333333335"/>
    <n v="3590"/>
    <n v="751.66666666666652"/>
    <n v="2150"/>
    <n v="20640"/>
    <n v="7057.3316666666633"/>
    <n v="4907.3316666666633"/>
    <x v="1"/>
    <x v="9"/>
    <n v="9"/>
    <x v="3"/>
    <x v="0"/>
    <x v="0"/>
    <n v="34.192498385012904"/>
    <n v="23.77583171834624"/>
  </r>
  <r>
    <d v="2023-09-02T00:00:00"/>
    <n v="7081.8499999999995"/>
    <n v="8310"/>
    <n v="1228.1500000000003"/>
    <n v="3330.6499999999996"/>
    <n v="4700"/>
    <n v="1369.3500000000004"/>
    <n v="785.3"/>
    <n v="2950"/>
    <n v="2164.6999999999998"/>
    <n v="3228.333333333333"/>
    <n v="4040"/>
    <n v="811.66666666666708"/>
    <n v="2150"/>
    <n v="20000"/>
    <n v="5573.8666666666677"/>
    <n v="3423.8666666666677"/>
    <x v="1"/>
    <x v="9"/>
    <n v="9"/>
    <x v="3"/>
    <x v="1"/>
    <x v="0"/>
    <n v="27.869333333333341"/>
    <n v="17.119333333333341"/>
  </r>
  <r>
    <d v="2023-09-03T00:00:00"/>
    <n v="5624.8149999999996"/>
    <n v="7410"/>
    <n v="1785.1850000000004"/>
    <n v="2261.5000000000005"/>
    <n v="4200"/>
    <n v="1938.4999999999995"/>
    <n v="130.07999999999996"/>
    <n v="350"/>
    <n v="219.92000000000004"/>
    <n v="4555"/>
    <n v="5700"/>
    <n v="1145"/>
    <n v="2150"/>
    <n v="17660"/>
    <n v="5088.6049999999996"/>
    <n v="2938.6049999999996"/>
    <x v="1"/>
    <x v="9"/>
    <n v="9"/>
    <x v="3"/>
    <x v="2"/>
    <x v="0"/>
    <n v="28.814297848244617"/>
    <n v="16.639892412231028"/>
  </r>
  <r>
    <d v="2023-09-04T00:00:00"/>
    <n v="5160.7400000000007"/>
    <n v="9420"/>
    <n v="4259.2599999999993"/>
    <n v="2275.25"/>
    <n v="2100"/>
    <n v="-175.25"/>
    <n v="116"/>
    <n v="550"/>
    <n v="434"/>
    <n v="2770"/>
    <n v="3420"/>
    <n v="650"/>
    <n v="2150"/>
    <n v="15490"/>
    <n v="5168.0099999999993"/>
    <n v="3018.0099999999993"/>
    <x v="1"/>
    <x v="9"/>
    <n v="9"/>
    <x v="3"/>
    <x v="3"/>
    <x v="0"/>
    <n v="33.363524854744995"/>
    <n v="19.483602324080046"/>
  </r>
  <r>
    <d v="2023-09-05T00:00:00"/>
    <n v="6809.704999999999"/>
    <n v="6920"/>
    <n v="110.29500000000098"/>
    <n v="1875.5500000000004"/>
    <n v="2300"/>
    <n v="424.44999999999959"/>
    <n v="656.1"/>
    <n v="1700"/>
    <n v="1043.9000000000001"/>
    <n v="2913.333333333333"/>
    <n v="3620"/>
    <n v="706.66666666666697"/>
    <n v="2150"/>
    <n v="14540"/>
    <n v="2285.3116666666674"/>
    <n v="135.31166666666741"/>
    <x v="1"/>
    <x v="9"/>
    <n v="9"/>
    <x v="3"/>
    <x v="4"/>
    <x v="0"/>
    <n v="15.71741173773499"/>
    <n v="0.93061668959193533"/>
  </r>
  <r>
    <d v="2023-09-06T00:00:00"/>
    <n v="5005.6499999999996"/>
    <n v="9120"/>
    <n v="4114.3500000000004"/>
    <n v="2576.6749999999997"/>
    <n v="3690"/>
    <n v="1113.3250000000005"/>
    <n v="359.85"/>
    <n v="1100"/>
    <n v="740.15"/>
    <n v="2585.0000000000005"/>
    <n v="3230"/>
    <n v="644.99999999999955"/>
    <n v="2150"/>
    <n v="17140"/>
    <n v="6612.8250000000007"/>
    <n v="4462.8250000000007"/>
    <x v="1"/>
    <x v="9"/>
    <n v="9"/>
    <x v="3"/>
    <x v="5"/>
    <x v="0"/>
    <n v="38.581242707117859"/>
    <n v="26.037485414235711"/>
  </r>
  <r>
    <d v="2023-09-07T00:00:00"/>
    <n v="5367.8399999999983"/>
    <n v="6740"/>
    <n v="1372.1600000000017"/>
    <n v="3703.8249999999998"/>
    <n v="6850"/>
    <n v="3146.1750000000002"/>
    <n v="146.32999999999979"/>
    <n v="800"/>
    <n v="653.67000000000019"/>
    <n v="3448.3333333333335"/>
    <n v="4320"/>
    <n v="871.66666666666652"/>
    <n v="2150"/>
    <n v="18710"/>
    <n v="6043.6716666666689"/>
    <n v="3893.6716666666689"/>
    <x v="1"/>
    <x v="9"/>
    <n v="9"/>
    <x v="3"/>
    <x v="6"/>
    <x v="0"/>
    <n v="32.301826117940507"/>
    <n v="20.810644931409243"/>
  </r>
  <r>
    <d v="2023-09-08T00:00:00"/>
    <n v="6657.8200000000015"/>
    <n v="5950"/>
    <n v="-707.82000000000153"/>
    <n v="6022.6750000000011"/>
    <n v="10250"/>
    <n v="4227.3249999999989"/>
    <n v="387.63000000000022"/>
    <n v="1100"/>
    <n v="712.36999999999966"/>
    <n v="4071.6666666666665"/>
    <n v="5050"/>
    <n v="978.33333333333348"/>
    <n v="2150"/>
    <n v="22350"/>
    <n v="5210.2083333333303"/>
    <n v="3060.2083333333303"/>
    <x v="1"/>
    <x v="9"/>
    <n v="9"/>
    <x v="3"/>
    <x v="0"/>
    <x v="0"/>
    <n v="23.311894108873961"/>
    <n v="13.692207307979107"/>
  </r>
  <r>
    <d v="2023-09-11T00:00:00"/>
    <n v="6148.6200000000008"/>
    <n v="8940"/>
    <n v="2791.3799999999992"/>
    <n v="2367.7250000000004"/>
    <n v="3600"/>
    <n v="1232.2749999999996"/>
    <n v="120.24999999999991"/>
    <n v="800"/>
    <n v="679.75000000000011"/>
    <n v="3958.3333333333335"/>
    <n v="4950"/>
    <n v="991.66666666666652"/>
    <n v="2150"/>
    <n v="18290"/>
    <n v="5695.0716666666649"/>
    <n v="3545.0716666666649"/>
    <x v="1"/>
    <x v="9"/>
    <n v="9"/>
    <x v="3"/>
    <x v="3"/>
    <x v="0"/>
    <n v="31.137625296154535"/>
    <n v="19.382567887734638"/>
  </r>
  <r>
    <d v="2023-09-12T00:00:00"/>
    <n v="6232.3849999999993"/>
    <n v="5380"/>
    <n v="-852.38499999999931"/>
    <n v="3074.3749999999995"/>
    <n v="5150"/>
    <n v="2075.6250000000005"/>
    <n v="495.4"/>
    <n v="1000"/>
    <n v="504.6"/>
    <n v="3225"/>
    <n v="4020"/>
    <n v="795"/>
    <n v="2150"/>
    <n v="15550"/>
    <n v="2522.8400000000011"/>
    <n v="372.84000000000106"/>
    <x v="1"/>
    <x v="9"/>
    <n v="9"/>
    <x v="3"/>
    <x v="4"/>
    <x v="0"/>
    <n v="16.224051446945346"/>
    <n v="2.397684887459814"/>
  </r>
  <r>
    <d v="2023-09-13T00:00:00"/>
    <n v="4800.2800000000007"/>
    <n v="6270"/>
    <n v="1469.7199999999991"/>
    <n v="2965.9999999999995"/>
    <n v="4100"/>
    <n v="1134.0000000000005"/>
    <n v="23"/>
    <n v="400"/>
    <n v="377"/>
    <n v="3024.9999999999995"/>
    <n v="3800"/>
    <n v="775.00000000000045"/>
    <n v="2150"/>
    <n v="14570"/>
    <n v="3755.72"/>
    <n v="1605.7200000000005"/>
    <x v="1"/>
    <x v="9"/>
    <n v="9"/>
    <x v="3"/>
    <x v="5"/>
    <x v="0"/>
    <n v="25.777076183939602"/>
    <n v="11.020727522306112"/>
  </r>
  <r>
    <d v="2023-09-14T00:00:00"/>
    <n v="5510.5350000000008"/>
    <n v="5260"/>
    <n v="-250.53500000000076"/>
    <n v="2190.7750000000005"/>
    <n v="6350"/>
    <n v="4159.2249999999995"/>
    <n v="273.61000000000013"/>
    <n v="800"/>
    <n v="526.38999999999987"/>
    <n v="2993.3333333333335"/>
    <n v="3710"/>
    <n v="716.66666666666652"/>
    <n v="2150"/>
    <n v="16120"/>
    <n v="5151.746666666666"/>
    <n v="3001.746666666666"/>
    <x v="1"/>
    <x v="9"/>
    <n v="9"/>
    <x v="3"/>
    <x v="6"/>
    <x v="0"/>
    <n v="31.958726220016537"/>
    <n v="18.621257237386267"/>
  </r>
  <r>
    <d v="2023-09-15T00:00:00"/>
    <n v="5618.329999999999"/>
    <n v="5860"/>
    <n v="241.67000000000095"/>
    <n v="4822.9750000000004"/>
    <n v="6150"/>
    <n v="1327.0249999999996"/>
    <n v="660.79999999999984"/>
    <n v="1600"/>
    <n v="939.20000000000016"/>
    <n v="3183.3333333333335"/>
    <n v="4020"/>
    <n v="836.66666666666652"/>
    <n v="2150"/>
    <n v="17630"/>
    <n v="3344.5616666666674"/>
    <n v="1194.5616666666674"/>
    <x v="1"/>
    <x v="9"/>
    <n v="9"/>
    <x v="3"/>
    <x v="0"/>
    <x v="0"/>
    <n v="18.970854603894878"/>
    <n v="6.7757326526753676"/>
  </r>
  <r>
    <d v="2023-09-16T00:00:00"/>
    <n v="6304.2249999999995"/>
    <n v="5600"/>
    <n v="-704.22499999999945"/>
    <n v="2080.6999999999994"/>
    <n v="5450"/>
    <n v="3369.3000000000006"/>
    <n v="621.75999999999965"/>
    <n v="1200"/>
    <n v="578.24000000000035"/>
    <n v="2893.333333333333"/>
    <n v="3620"/>
    <n v="726.66666666666708"/>
    <n v="2150"/>
    <n v="15870"/>
    <n v="3969.9816666666688"/>
    <n v="1819.9816666666684"/>
    <x v="1"/>
    <x v="9"/>
    <n v="9"/>
    <x v="3"/>
    <x v="1"/>
    <x v="0"/>
    <n v="25.015637471119529"/>
    <n v="11.4680634320521"/>
  </r>
  <r>
    <d v="2023-09-17T00:00:00"/>
    <n v="6056.89"/>
    <n v="10800"/>
    <n v="4743.1099999999997"/>
    <n v="6031.3750000000009"/>
    <n v="12060"/>
    <n v="6028.6249999999991"/>
    <n v="714.38"/>
    <n v="2040"/>
    <n v="1325.62"/>
    <n v="4061.6666666666665"/>
    <n v="5100"/>
    <n v="1038.3333333333337"/>
    <n v="2150"/>
    <n v="30000"/>
    <n v="13135.688333333334"/>
    <n v="10985.688333333334"/>
    <x v="1"/>
    <x v="9"/>
    <n v="9"/>
    <x v="3"/>
    <x v="2"/>
    <x v="0"/>
    <n v="43.785627777777783"/>
    <n v="36.618961111111112"/>
  </r>
  <r>
    <d v="2023-09-18T00:00:00"/>
    <n v="7870.7249999999985"/>
    <n v="7220"/>
    <n v="-650.72499999999854"/>
    <n v="4716.4750000000004"/>
    <n v="8400"/>
    <n v="3683.5250000000001"/>
    <n v="1732.69"/>
    <n v="4160"/>
    <n v="2427.31"/>
    <n v="3415"/>
    <n v="4330"/>
    <n v="915"/>
    <n v="2150"/>
    <n v="24110"/>
    <n v="6375.1100000000006"/>
    <n v="4225.1100000000006"/>
    <x v="1"/>
    <x v="9"/>
    <n v="9"/>
    <x v="3"/>
    <x v="3"/>
    <x v="0"/>
    <n v="26.441766901700543"/>
    <n v="17.52430526752385"/>
  </r>
  <r>
    <d v="2023-09-19T00:00:00"/>
    <n v="4743.085"/>
    <n v="7560"/>
    <n v="2816.915"/>
    <n v="1411.3749999999995"/>
    <n v="4050"/>
    <n v="2638.6250000000005"/>
    <n v="1065.02"/>
    <n v="1960"/>
    <n v="894.98"/>
    <n v="2500"/>
    <n v="3130"/>
    <n v="630"/>
    <n v="2150"/>
    <n v="16700"/>
    <n v="6980.52"/>
    <n v="4830.5200000000004"/>
    <x v="1"/>
    <x v="9"/>
    <n v="9"/>
    <x v="3"/>
    <x v="4"/>
    <x v="0"/>
    <n v="41.799520958083832"/>
    <n v="28.925269461077846"/>
  </r>
  <r>
    <d v="2023-09-20T00:00:00"/>
    <n v="4646.4299999999994"/>
    <n v="7710"/>
    <n v="3063.5700000000006"/>
    <n v="4048.5500000000006"/>
    <n v="7350"/>
    <n v="3301.4499999999989"/>
    <n v="1590.3599999999997"/>
    <n v="3880"/>
    <n v="2289.64"/>
    <n v="3118.3333333333335"/>
    <n v="3950"/>
    <n v="831.66666666666652"/>
    <n v="2150"/>
    <n v="22890"/>
    <n v="9486.3266666666659"/>
    <n v="7336.3266666666659"/>
    <x v="1"/>
    <x v="9"/>
    <n v="9"/>
    <x v="3"/>
    <x v="5"/>
    <x v="0"/>
    <n v="41.443104703655159"/>
    <n v="32.050356778797138"/>
  </r>
  <r>
    <d v="2023-09-21T00:00:00"/>
    <n v="5778.98"/>
    <n v="5140"/>
    <n v="-638.97999999999956"/>
    <n v="1538.9"/>
    <n v="4350"/>
    <n v="2811.1"/>
    <n v="329.65999999999991"/>
    <n v="1280"/>
    <n v="950.34000000000015"/>
    <n v="3953.333333333333"/>
    <n v="4920"/>
    <n v="966.66666666666708"/>
    <n v="2150"/>
    <n v="15690"/>
    <n v="4089.126666666667"/>
    <n v="1939.1266666666677"/>
    <x v="1"/>
    <x v="9"/>
    <n v="9"/>
    <x v="3"/>
    <x v="6"/>
    <x v="0"/>
    <n v="26.061992776715531"/>
    <n v="12.358997238155943"/>
  </r>
  <r>
    <d v="2023-09-22T00:00:00"/>
    <n v="7568.5349999999999"/>
    <n v="6280"/>
    <n v="-1288.5350000000001"/>
    <n v="5704.85"/>
    <n v="10650"/>
    <n v="4945.1499999999996"/>
    <n v="1298.1100000000004"/>
    <n v="3080"/>
    <n v="1781.8899999999996"/>
    <n v="4440"/>
    <n v="5540"/>
    <n v="1100"/>
    <n v="2150"/>
    <n v="25550"/>
    <n v="6538.5049999999992"/>
    <n v="4388.5049999999992"/>
    <x v="1"/>
    <x v="9"/>
    <n v="9"/>
    <x v="3"/>
    <x v="0"/>
    <x v="0"/>
    <n v="25.591017612524457"/>
    <n v="17.176144814090016"/>
  </r>
  <r>
    <d v="2023-09-23T00:00:00"/>
    <n v="5977.4999999999973"/>
    <n v="7240"/>
    <n v="1262.5000000000027"/>
    <n v="3750.6750000000002"/>
    <n v="5270"/>
    <n v="1519.3250000000005"/>
    <n v="1373.4"/>
    <n v="3880"/>
    <n v="2506.6"/>
    <n v="2183.3333333333335"/>
    <n v="2750"/>
    <n v="566.66666666666652"/>
    <n v="2150"/>
    <n v="19140"/>
    <n v="5855.091666666669"/>
    <n v="3705.091666666669"/>
    <x v="1"/>
    <x v="9"/>
    <n v="9"/>
    <x v="3"/>
    <x v="1"/>
    <x v="0"/>
    <n v="30.590865552072461"/>
    <n v="19.357845698362951"/>
  </r>
  <r>
    <d v="2023-09-24T00:00:00"/>
    <n v="6429.9000000000005"/>
    <n v="7310"/>
    <n v="880.09999999999957"/>
    <n v="2893.4"/>
    <n v="4000"/>
    <n v="1106.5999999999999"/>
    <n v="448.31000000000006"/>
    <n v="1280"/>
    <n v="831.68999999999994"/>
    <n v="1840"/>
    <n v="2280"/>
    <n v="439.99999999999977"/>
    <n v="2150"/>
    <n v="14870"/>
    <n v="3258.3899999999994"/>
    <n v="1108.3899999999994"/>
    <x v="1"/>
    <x v="9"/>
    <n v="9"/>
    <x v="3"/>
    <x v="2"/>
    <x v="0"/>
    <n v="21.912508406186952"/>
    <n v="7.4538668459986512"/>
  </r>
  <r>
    <d v="2023-09-25T00:00:00"/>
    <n v="5764.38"/>
    <n v="8680"/>
    <n v="2915.62"/>
    <n v="3324.5999999999995"/>
    <n v="6850"/>
    <n v="3525.4000000000005"/>
    <n v="656.71999999999991"/>
    <n v="2160"/>
    <n v="1503.2800000000002"/>
    <n v="2310.0000000000005"/>
    <n v="2880"/>
    <n v="569.99999999999955"/>
    <n v="2150"/>
    <n v="20570"/>
    <n v="8514.3000000000011"/>
    <n v="6364.3000000000011"/>
    <x v="1"/>
    <x v="9"/>
    <n v="9"/>
    <x v="3"/>
    <x v="3"/>
    <x v="0"/>
    <n v="41.39183276616432"/>
    <n v="30.939718035974728"/>
  </r>
  <r>
    <d v="2023-09-26T00:00:00"/>
    <n v="8726.7349999999969"/>
    <n v="4980"/>
    <n v="-3746.7349999999969"/>
    <n v="3940.775000000001"/>
    <n v="9300"/>
    <n v="5359.2249999999995"/>
    <n v="830.81000000000017"/>
    <n v="1280"/>
    <n v="449.18999999999983"/>
    <n v="2661.6666666666665"/>
    <n v="3340"/>
    <n v="678.33333333333348"/>
    <n v="2150"/>
    <n v="18900"/>
    <n v="2740.0133333333356"/>
    <n v="590.01333333333559"/>
    <x v="1"/>
    <x v="9"/>
    <n v="9"/>
    <x v="3"/>
    <x v="4"/>
    <x v="0"/>
    <n v="14.497425044091722"/>
    <n v="3.1217636684303471"/>
  </r>
  <r>
    <d v="2023-09-27T00:00:00"/>
    <n v="6039.71"/>
    <n v="9370"/>
    <n v="3330.29"/>
    <n v="3028.4"/>
    <n v="6350"/>
    <n v="3321.6"/>
    <n v="1330.26"/>
    <n v="1480"/>
    <n v="149.74"/>
    <n v="2343.333333333333"/>
    <n v="2990"/>
    <n v="646.66666666666697"/>
    <n v="2150"/>
    <n v="20190"/>
    <n v="7448.2966666666653"/>
    <n v="5298.2966666666662"/>
    <x v="1"/>
    <x v="9"/>
    <n v="9"/>
    <x v="3"/>
    <x v="5"/>
    <x v="0"/>
    <n v="36.891018656100371"/>
    <n v="26.242182598646192"/>
  </r>
  <r>
    <d v="2023-09-28T00:00:00"/>
    <n v="6329.9000000000015"/>
    <n v="8360"/>
    <n v="2030.0999999999983"/>
    <n v="4078.4749999999999"/>
    <n v="6950"/>
    <n v="2871.5250000000001"/>
    <n v="702.18"/>
    <n v="1780"/>
    <n v="1077.8200000000002"/>
    <n v="1861.6666666666667"/>
    <n v="2410"/>
    <n v="548.33333333333326"/>
    <n v="2150"/>
    <n v="19500"/>
    <n v="6527.7783333333309"/>
    <n v="4377.7783333333309"/>
    <x v="1"/>
    <x v="9"/>
    <n v="9"/>
    <x v="3"/>
    <x v="6"/>
    <x v="0"/>
    <n v="33.475786324786313"/>
    <n v="22.450145299145284"/>
  </r>
  <r>
    <d v="2023-09-29T00:00:00"/>
    <n v="9561.1450000000004"/>
    <n v="12320"/>
    <n v="2758.8549999999996"/>
    <n v="4997.6249999999991"/>
    <n v="10240"/>
    <n v="5242.3750000000009"/>
    <n v="911.97999999999979"/>
    <n v="2360"/>
    <n v="1448.02"/>
    <n v="2281.6666666666665"/>
    <n v="2930"/>
    <n v="648.33333333333348"/>
    <n v="2150"/>
    <n v="27850"/>
    <n v="10097.583333333334"/>
    <n v="7947.5833333333348"/>
    <x v="1"/>
    <x v="9"/>
    <n v="9"/>
    <x v="3"/>
    <x v="0"/>
    <x v="0"/>
    <n v="36.25703171753441"/>
    <n v="28.537103530819873"/>
  </r>
  <r>
    <d v="2023-09-30T00:00:00"/>
    <n v="7984.7499999999964"/>
    <n v="6530"/>
    <n v="-1454.7499999999973"/>
    <n v="4228.4500000000007"/>
    <n v="6410"/>
    <n v="2181.5499999999993"/>
    <n v="1063.1000000000001"/>
    <n v="3140"/>
    <n v="2076.8999999999996"/>
    <n v="2935.0000000000005"/>
    <n v="3710"/>
    <n v="774.99999999999955"/>
    <n v="2150"/>
    <n v="19790"/>
    <n v="3578.7000000000012"/>
    <n v="1428.7000000000012"/>
    <x v="1"/>
    <x v="9"/>
    <n v="9"/>
    <x v="3"/>
    <x v="1"/>
    <x v="0"/>
    <n v="18.083375442142501"/>
    <n v="7.2193026781202692"/>
  </r>
  <r>
    <d v="2023-10-01T00:00:00"/>
    <n v="6392.0350000000008"/>
    <n v="6510"/>
    <n v="117.96499999999924"/>
    <n v="2391.9000000000005"/>
    <n v="4200"/>
    <n v="1808.0999999999997"/>
    <n v="1225.7699999999998"/>
    <n v="3360"/>
    <n v="2134.2300000000005"/>
    <n v="2213.3333333333335"/>
    <n v="2830"/>
    <n v="616.66666666666652"/>
    <n v="2150"/>
    <n v="16900"/>
    <n v="4676.9616666666661"/>
    <n v="2526.9616666666661"/>
    <x v="1"/>
    <x v="10"/>
    <n v="10"/>
    <x v="0"/>
    <x v="2"/>
    <x v="0"/>
    <n v="27.674329388560153"/>
    <n v="14.952435897435896"/>
  </r>
  <r>
    <d v="2023-10-02T00:00:00"/>
    <n v="6617.44"/>
    <n v="8710"/>
    <n v="2092.5600000000004"/>
    <n v="5858.4150000000009"/>
    <n v="10050"/>
    <n v="4191.5849999999991"/>
    <n v="947.31999999999948"/>
    <n v="2360"/>
    <n v="1412.6800000000005"/>
    <n v="2508.3333333333335"/>
    <n v="3150"/>
    <n v="641.66666666666652"/>
    <n v="2150"/>
    <n v="24270"/>
    <n v="8338.4916666666668"/>
    <n v="6188.4916666666668"/>
    <x v="1"/>
    <x v="10"/>
    <n v="10"/>
    <x v="0"/>
    <x v="3"/>
    <x v="0"/>
    <n v="34.357196813624505"/>
    <n v="25.498523554456803"/>
  </r>
  <r>
    <d v="2023-10-03T00:00:00"/>
    <n v="6731.8050000000012"/>
    <n v="6770"/>
    <n v="38.194999999998799"/>
    <n v="3204.9249999999997"/>
    <n v="5150"/>
    <n v="1945.0750000000005"/>
    <n v="867.7700000000001"/>
    <n v="2360"/>
    <n v="1492.23"/>
    <n v="2170"/>
    <n v="2720"/>
    <n v="550"/>
    <n v="2150"/>
    <n v="17000"/>
    <n v="4025.4999999999991"/>
    <n v="1875.4999999999991"/>
    <x v="1"/>
    <x v="10"/>
    <n v="10"/>
    <x v="0"/>
    <x v="4"/>
    <x v="0"/>
    <n v="23.679411764705875"/>
    <n v="11.032352941176466"/>
  </r>
  <r>
    <d v="2023-10-04T00:00:00"/>
    <n v="5978.1349999999993"/>
    <n v="6490"/>
    <n v="511.86500000000075"/>
    <n v="1963.2750000000001"/>
    <n v="4150"/>
    <n v="2186.7249999999999"/>
    <n v="430.46999999999991"/>
    <n v="1360"/>
    <n v="929.53000000000009"/>
    <n v="754.99999999999989"/>
    <n v="1020"/>
    <n v="265.00000000000011"/>
    <n v="2150"/>
    <n v="13020"/>
    <n v="3893.1200000000008"/>
    <n v="1743.1200000000008"/>
    <x v="1"/>
    <x v="10"/>
    <n v="10"/>
    <x v="0"/>
    <x v="5"/>
    <x v="0"/>
    <n v="29.901075268817213"/>
    <n v="13.388018433179729"/>
  </r>
  <r>
    <d v="2023-10-05T00:00:00"/>
    <n v="4523.1050000000014"/>
    <n v="6000"/>
    <n v="1476.8949999999986"/>
    <n v="1263.1249999999998"/>
    <n v="2200"/>
    <n v="936.87500000000011"/>
    <n v="1167.42"/>
    <n v="2940"/>
    <n v="1772.58"/>
    <n v="2200"/>
    <n v="2780"/>
    <n v="580"/>
    <n v="2150"/>
    <n v="13920"/>
    <n v="4766.3499999999985"/>
    <n v="2616.3499999999985"/>
    <x v="1"/>
    <x v="10"/>
    <n v="10"/>
    <x v="0"/>
    <x v="6"/>
    <x v="0"/>
    <n v="34.241020114942515"/>
    <n v="18.795617816091944"/>
  </r>
  <r>
    <d v="2023-10-06T00:00:00"/>
    <n v="6249.6349999999993"/>
    <n v="8030"/>
    <n v="1780.3650000000007"/>
    <n v="2212.9749999999995"/>
    <n v="5000"/>
    <n v="2787.0250000000005"/>
    <n v="1292.69"/>
    <n v="5700"/>
    <n v="4407.3099999999995"/>
    <n v="2001.6666666666663"/>
    <n v="2530"/>
    <n v="528.33333333333348"/>
    <n v="2150"/>
    <n v="21260"/>
    <n v="9503.0333333333347"/>
    <n v="7353.0333333333347"/>
    <x v="1"/>
    <x v="10"/>
    <n v="10"/>
    <x v="0"/>
    <x v="0"/>
    <x v="0"/>
    <n v="44.699121981812482"/>
    <n v="34.586233929131396"/>
  </r>
  <r>
    <d v="2023-10-07T00:00:00"/>
    <n v="7000.45"/>
    <n v="10080"/>
    <n v="3079.55"/>
    <n v="1932.075"/>
    <n v="3150"/>
    <n v="1217.9250000000002"/>
    <n v="598.99999999999977"/>
    <n v="1000"/>
    <n v="401.00000000000023"/>
    <n v="2736.666666666667"/>
    <n v="3450"/>
    <n v="713.33333333333303"/>
    <n v="2150"/>
    <n v="17680"/>
    <n v="5411.8083333333334"/>
    <n v="3261.8083333333334"/>
    <x v="1"/>
    <x v="10"/>
    <n v="10"/>
    <x v="0"/>
    <x v="1"/>
    <x v="0"/>
    <n v="30.609775641025642"/>
    <n v="18.449142156862745"/>
  </r>
  <r>
    <d v="2023-10-08T00:00:00"/>
    <n v="5508.3500000000013"/>
    <n v="6870"/>
    <n v="1361.6499999999987"/>
    <n v="2240.7500000000009"/>
    <n v="2350"/>
    <n v="109.24999999999908"/>
    <n v="776.11999999999989"/>
    <n v="2000"/>
    <n v="1223.8800000000001"/>
    <n v="2291.666666666667"/>
    <n v="2900"/>
    <n v="608.33333333333303"/>
    <n v="2150"/>
    <n v="14120"/>
    <n v="3303.113333333331"/>
    <n v="1153.113333333331"/>
    <x v="1"/>
    <x v="10"/>
    <n v="10"/>
    <x v="0"/>
    <x v="2"/>
    <x v="0"/>
    <n v="23.393153918791295"/>
    <n v="8.1665250236071607"/>
  </r>
  <r>
    <d v="2023-10-09T00:00:00"/>
    <n v="6465.75"/>
    <n v="6840"/>
    <n v="374.25"/>
    <n v="2049.75"/>
    <n v="3450"/>
    <n v="1400.25"/>
    <n v="230.95"/>
    <n v="800"/>
    <n v="569.04999999999995"/>
    <n v="1140"/>
    <n v="1420"/>
    <n v="280"/>
    <n v="2150"/>
    <n v="12510"/>
    <n v="2623.55"/>
    <n v="473.55000000000018"/>
    <x v="1"/>
    <x v="10"/>
    <n v="10"/>
    <x v="0"/>
    <x v="3"/>
    <x v="0"/>
    <n v="20.97162270183853"/>
    <n v="3.7853717026378906"/>
  </r>
  <r>
    <d v="2023-10-10T00:00:00"/>
    <n v="6016.0650000000005"/>
    <n v="6660"/>
    <n v="643.93499999999949"/>
    <n v="2226.6999999999998"/>
    <n v="3600"/>
    <n v="1373.3000000000002"/>
    <n v="730.16000000000008"/>
    <n v="1280"/>
    <n v="549.83999999999992"/>
    <n v="1763.3333333333333"/>
    <n v="2240"/>
    <n v="476.66666666666674"/>
    <n v="2150"/>
    <n v="13780"/>
    <n v="3043.7416666666668"/>
    <n v="893.74166666666667"/>
    <x v="1"/>
    <x v="10"/>
    <n v="10"/>
    <x v="0"/>
    <x v="4"/>
    <x v="0"/>
    <n v="22.088110788582487"/>
    <n v="6.4857885824866957"/>
  </r>
  <r>
    <d v="2023-10-11T00:00:00"/>
    <n v="7980.5050000000028"/>
    <n v="7890"/>
    <n v="-90.505000000003747"/>
    <n v="1906.9000000000003"/>
    <n v="4880"/>
    <n v="2973.0999999999995"/>
    <n v="1209.22"/>
    <n v="4360"/>
    <n v="3150.7799999999997"/>
    <n v="2332.5"/>
    <n v="2900"/>
    <n v="567.5"/>
    <n v="2150"/>
    <n v="20030"/>
    <n v="6600.8749999999955"/>
    <n v="4450.8749999999955"/>
    <x v="1"/>
    <x v="10"/>
    <n v="10"/>
    <x v="0"/>
    <x v="5"/>
    <x v="0"/>
    <n v="32.954942586120794"/>
    <n v="22.221043434847708"/>
  </r>
  <r>
    <d v="2023-10-12T00:00:00"/>
    <n v="6973.0499999999984"/>
    <n v="7480"/>
    <n v="506.95000000000158"/>
    <n v="2289.8249999999994"/>
    <n v="4380"/>
    <n v="2090.1750000000006"/>
    <n v="733.18000000000006"/>
    <n v="1580"/>
    <n v="846.81999999999994"/>
    <n v="2423.333333333333"/>
    <n v="3050"/>
    <n v="626.66666666666697"/>
    <n v="2150"/>
    <n v="16490"/>
    <n v="4070.6116666666694"/>
    <n v="1920.6116666666696"/>
    <x v="1"/>
    <x v="10"/>
    <n v="10"/>
    <x v="0"/>
    <x v="6"/>
    <x v="0"/>
    <n v="24.685334546189626"/>
    <n v="11.647129573478894"/>
  </r>
  <r>
    <d v="2023-10-13T00:00:00"/>
    <n v="5765.4150000000009"/>
    <n v="5960"/>
    <n v="194.58499999999913"/>
    <n v="3876.625"/>
    <n v="6850"/>
    <n v="2973.375"/>
    <n v="730.3000000000003"/>
    <n v="1800"/>
    <n v="1069.6999999999998"/>
    <n v="2196.6666666666665"/>
    <n v="2750"/>
    <n v="553.33333333333348"/>
    <n v="2150"/>
    <n v="17360"/>
    <n v="4790.993333333332"/>
    <n v="2640.993333333332"/>
    <x v="1"/>
    <x v="10"/>
    <n v="10"/>
    <x v="0"/>
    <x v="0"/>
    <x v="0"/>
    <n v="27.597887864823338"/>
    <n v="15.213095238095232"/>
  </r>
  <r>
    <d v="2023-10-14T00:00:00"/>
    <n v="5830.8500000000013"/>
    <n v="6230"/>
    <n v="399.14999999999873"/>
    <n v="2793.0000000000018"/>
    <n v="4750"/>
    <n v="1956.9999999999984"/>
    <n v="607.8599999999999"/>
    <n v="1480"/>
    <n v="872.1400000000001"/>
    <n v="1339.1666666666663"/>
    <n v="1710"/>
    <n v="370.83333333333343"/>
    <n v="2150"/>
    <n v="14170"/>
    <n v="3599.1233333333307"/>
    <n v="1449.1233333333307"/>
    <x v="1"/>
    <x v="10"/>
    <n v="10"/>
    <x v="0"/>
    <x v="1"/>
    <x v="0"/>
    <n v="25.399600094095486"/>
    <n v="10.226699600094078"/>
  </r>
  <r>
    <d v="2023-10-15T00:00:00"/>
    <n v="8303.42"/>
    <n v="7930"/>
    <n v="-373.42000000000007"/>
    <n v="3924.85"/>
    <n v="5750"/>
    <n v="1825.1499999999996"/>
    <n v="883.3"/>
    <n v="2680"/>
    <n v="1796.7000000000003"/>
    <n v="2146.6666666666665"/>
    <n v="2740"/>
    <n v="593.33333333333348"/>
    <n v="2150"/>
    <n v="19100"/>
    <n v="3841.7633333333338"/>
    <n v="1691.7633333333331"/>
    <x v="1"/>
    <x v="10"/>
    <n v="10"/>
    <x v="0"/>
    <x v="2"/>
    <x v="0"/>
    <n v="20.113944153577666"/>
    <n v="8.8573996509598594"/>
  </r>
  <r>
    <d v="2023-10-16T00:00:00"/>
    <n v="6897.4800000000014"/>
    <n v="5750"/>
    <n v="-1147.4800000000014"/>
    <n v="969.38499999999965"/>
    <n v="2200"/>
    <n v="1230.6150000000002"/>
    <n v="726.04000000000042"/>
    <n v="1080"/>
    <n v="353.95999999999964"/>
    <n v="1031.6666666666663"/>
    <n v="1310"/>
    <n v="278.33333333333348"/>
    <n v="2150"/>
    <n v="10340"/>
    <n v="715.42833333333192"/>
    <n v="-1434.5716666666681"/>
    <x v="1"/>
    <x v="10"/>
    <n v="10"/>
    <x v="0"/>
    <x v="3"/>
    <x v="1"/>
    <n v="6.9190361057382201"/>
    <n v="-13.874000644745339"/>
  </r>
  <r>
    <d v="2023-10-17T00:00:00"/>
    <n v="6178.125"/>
    <n v="7580"/>
    <n v="1401.875"/>
    <n v="3018.1250000000005"/>
    <n v="5100"/>
    <n v="2081.8749999999995"/>
    <n v="334.76999999999987"/>
    <n v="960"/>
    <n v="625.23000000000013"/>
    <n v="1100.8333333333333"/>
    <n v="1440"/>
    <n v="339.16666666666674"/>
    <n v="2150"/>
    <n v="15080"/>
    <n v="4448.1466666666665"/>
    <n v="2298.1466666666665"/>
    <x v="1"/>
    <x v="10"/>
    <n v="10"/>
    <x v="0"/>
    <x v="4"/>
    <x v="0"/>
    <n v="29.496993810786915"/>
    <n v="15.239699381078692"/>
  </r>
  <r>
    <d v="2023-10-18T00:00:00"/>
    <n v="6687.8099999999995"/>
    <n v="8350"/>
    <n v="1662.1900000000005"/>
    <n v="2608.5"/>
    <n v="3650"/>
    <n v="1041.5"/>
    <n v="1021.76"/>
    <n v="1080"/>
    <n v="58.240000000000009"/>
    <n v="1325"/>
    <n v="1690"/>
    <n v="365"/>
    <n v="2150"/>
    <n v="14770"/>
    <n v="3126.9300000000003"/>
    <n v="976.93000000000029"/>
    <x v="1"/>
    <x v="10"/>
    <n v="10"/>
    <x v="0"/>
    <x v="5"/>
    <x v="0"/>
    <n v="21.170819228165204"/>
    <n v="6.6142857142857157"/>
  </r>
  <r>
    <d v="2023-10-19T00:00:00"/>
    <n v="5628.0750000000007"/>
    <n v="6350"/>
    <n v="721.92499999999916"/>
    <n v="3778.95"/>
    <n v="6210"/>
    <n v="2431.0499999999997"/>
    <n v="1467.7999999999995"/>
    <n v="4500"/>
    <n v="3032.2000000000007"/>
    <n v="1731.6666666666663"/>
    <n v="2230"/>
    <n v="498.33333333333343"/>
    <n v="2150"/>
    <n v="19290"/>
    <n v="6683.5083333333332"/>
    <n v="4533.5083333333332"/>
    <x v="1"/>
    <x v="10"/>
    <n v="10"/>
    <x v="0"/>
    <x v="6"/>
    <x v="0"/>
    <n v="34.64752894418524"/>
    <n v="23.501857611888717"/>
  </r>
  <r>
    <d v="2023-10-20T00:00:00"/>
    <n v="6255.125"/>
    <n v="7120"/>
    <n v="864.875"/>
    <n v="3876.0900000000006"/>
    <n v="6350"/>
    <n v="2473.9099999999994"/>
    <n v="796.96"/>
    <n v="2080"/>
    <n v="1283.04"/>
    <n v="1847.5"/>
    <n v="2330"/>
    <n v="482.5"/>
    <n v="2150"/>
    <n v="17880"/>
    <n v="5104.3249999999989"/>
    <n v="2954.3249999999989"/>
    <x v="1"/>
    <x v="10"/>
    <n v="10"/>
    <x v="0"/>
    <x v="0"/>
    <x v="0"/>
    <n v="28.547678970917218"/>
    <n v="16.52307046979865"/>
  </r>
  <r>
    <d v="2023-10-21T00:00:00"/>
    <n v="6987.454999999999"/>
    <n v="7990"/>
    <n v="1002.545000000001"/>
    <n v="1732.1999999999998"/>
    <n v="3770"/>
    <n v="2037.8"/>
    <n v="1238.17"/>
    <n v="3280"/>
    <n v="2041.83"/>
    <n v="1964.1666666666663"/>
    <n v="2510"/>
    <n v="545.83333333333348"/>
    <n v="2150"/>
    <n v="17550"/>
    <n v="5628.008333333335"/>
    <n v="3478.008333333335"/>
    <x v="1"/>
    <x v="10"/>
    <n v="10"/>
    <x v="0"/>
    <x v="1"/>
    <x v="0"/>
    <n v="32.068423551756894"/>
    <n v="19.817711301044643"/>
  </r>
  <r>
    <d v="2023-10-22T00:00:00"/>
    <n v="6475.0549999999994"/>
    <n v="7820"/>
    <n v="1344.9450000000006"/>
    <n v="2068.0499999999997"/>
    <n v="3350"/>
    <n v="1281.9500000000005"/>
    <n v="703.11000000000035"/>
    <n v="1000"/>
    <n v="296.88999999999965"/>
    <n v="1150.8333333333337"/>
    <n v="1480"/>
    <n v="329.16666666666652"/>
    <n v="2150"/>
    <n v="13650"/>
    <n v="3252.9516666666668"/>
    <n v="1102.9516666666668"/>
    <x v="1"/>
    <x v="10"/>
    <n v="10"/>
    <x v="0"/>
    <x v="2"/>
    <x v="0"/>
    <n v="23.831147741147742"/>
    <n v="8.0802319902319919"/>
  </r>
  <r>
    <d v="2023-10-23T00:00:00"/>
    <n v="6115.0200000000013"/>
    <n v="5490"/>
    <n v="-625.02000000000135"/>
    <n v="4603.95"/>
    <n v="7800"/>
    <n v="3196.05"/>
    <n v="639.82000000000005"/>
    <n v="900"/>
    <n v="260.17999999999995"/>
    <n v="1495"/>
    <n v="1880"/>
    <n v="385"/>
    <n v="2150"/>
    <n v="16070"/>
    <n v="3216.2099999999987"/>
    <n v="1066.2099999999989"/>
    <x v="1"/>
    <x v="10"/>
    <n v="10"/>
    <x v="0"/>
    <x v="3"/>
    <x v="0"/>
    <n v="20.013752333540751"/>
    <n v="6.6347853142501485"/>
  </r>
  <r>
    <d v="2023-10-24T00:00:00"/>
    <n v="6347.3249999999989"/>
    <n v="6370"/>
    <n v="22.675000000001091"/>
    <n v="1735.25"/>
    <n v="1100"/>
    <n v="-635.25"/>
    <n v="384.8499999999998"/>
    <n v="1200"/>
    <n v="815.1500000000002"/>
    <n v="1601.6666666666663"/>
    <n v="1990"/>
    <n v="388.33333333333343"/>
    <n v="2150"/>
    <n v="10660"/>
    <n v="590.90833333333478"/>
    <n v="-1559.0916666666651"/>
    <x v="1"/>
    <x v="10"/>
    <n v="10"/>
    <x v="0"/>
    <x v="4"/>
    <x v="1"/>
    <n v="5.5432301438399136"/>
    <n v="-14.625625390869279"/>
  </r>
  <r>
    <d v="2023-10-25T00:00:00"/>
    <n v="6923.9950000000008"/>
    <n v="7230"/>
    <n v="306.0049999999992"/>
    <n v="1969.5500000000004"/>
    <n v="3550"/>
    <n v="1580.4499999999996"/>
    <n v="1291.92"/>
    <n v="2760"/>
    <n v="1468.08"/>
    <n v="1467.5"/>
    <n v="1890"/>
    <n v="422.5"/>
    <n v="2150"/>
    <n v="15430"/>
    <n v="3777.0349999999994"/>
    <n v="1627.0349999999987"/>
    <x v="1"/>
    <x v="10"/>
    <n v="10"/>
    <x v="0"/>
    <x v="5"/>
    <x v="0"/>
    <n v="24.478515878159428"/>
    <n v="10.5446208684381"/>
  </r>
  <r>
    <d v="2023-10-26T00:00:00"/>
    <n v="5461.7900000000018"/>
    <n v="4870"/>
    <n v="-591.79000000000178"/>
    <n v="1938.8000000000004"/>
    <n v="2870"/>
    <n v="931.19999999999948"/>
    <n v="921.08"/>
    <n v="1440"/>
    <n v="518.91999999999996"/>
    <n v="1085"/>
    <n v="1400"/>
    <n v="315"/>
    <n v="2150"/>
    <n v="10580"/>
    <n v="1173.3299999999977"/>
    <n v="-976.67000000000235"/>
    <x v="1"/>
    <x v="10"/>
    <n v="10"/>
    <x v="0"/>
    <x v="6"/>
    <x v="1"/>
    <n v="11.090075614366707"/>
    <n v="-9.2312854442344268"/>
  </r>
  <r>
    <d v="2023-10-27T00:00:00"/>
    <n v="5725.24"/>
    <n v="6650"/>
    <n v="924.7600000000001"/>
    <n v="2882.9749999999999"/>
    <n v="4320"/>
    <n v="1437.0250000000001"/>
    <n v="1174.75"/>
    <n v="2300"/>
    <n v="1125.25"/>
    <n v="1302.5"/>
    <n v="1710"/>
    <n v="407.5"/>
    <n v="2150"/>
    <n v="14980"/>
    <n v="3894.5349999999999"/>
    <n v="1744.5350000000003"/>
    <x v="1"/>
    <x v="10"/>
    <n v="10"/>
    <x v="0"/>
    <x v="0"/>
    <x v="0"/>
    <n v="25.99823097463284"/>
    <n v="11.645761014686249"/>
  </r>
  <r>
    <d v="2023-10-28T00:00:00"/>
    <n v="8128.7999999999984"/>
    <n v="5000"/>
    <n v="-3128.7999999999984"/>
    <n v="5528.7"/>
    <n v="10020"/>
    <n v="4491.3"/>
    <n v="1808.74"/>
    <n v="3920"/>
    <n v="2111.2600000000002"/>
    <n v="2383.3333333333335"/>
    <n v="2950"/>
    <n v="566.66666666666652"/>
    <n v="2150"/>
    <n v="21890"/>
    <n v="4040.426666666669"/>
    <n v="1890.4266666666688"/>
    <x v="1"/>
    <x v="10"/>
    <n v="10"/>
    <x v="0"/>
    <x v="1"/>
    <x v="0"/>
    <n v="18.457865082990722"/>
    <n v="8.636028627988436"/>
  </r>
  <r>
    <d v="2023-10-29T00:00:00"/>
    <n v="7452.9449999999997"/>
    <n v="7130"/>
    <n v="-322.94499999999971"/>
    <n v="3044.1999999999994"/>
    <n v="4900"/>
    <n v="1855.8000000000009"/>
    <n v="1370.6299999999999"/>
    <n v="3240"/>
    <n v="1869.3700000000001"/>
    <n v="1313.3333333333337"/>
    <n v="1660"/>
    <n v="346.66666666666652"/>
    <n v="2150"/>
    <n v="16930"/>
    <n v="3748.8916666666678"/>
    <n v="1598.8916666666678"/>
    <x v="1"/>
    <x v="10"/>
    <n v="10"/>
    <x v="0"/>
    <x v="2"/>
    <x v="0"/>
    <n v="22.14348296908841"/>
    <n v="9.4441327032880551"/>
  </r>
  <r>
    <d v="2023-10-30T00:00:00"/>
    <n v="5182.1499999999996"/>
    <n v="7330"/>
    <n v="2147.8500000000004"/>
    <n v="2578.1000000000008"/>
    <n v="4250"/>
    <n v="1671.8999999999992"/>
    <n v="920.4100000000002"/>
    <n v="1280"/>
    <n v="359.5899999999998"/>
    <n v="458.33333333333337"/>
    <n v="580"/>
    <n v="121.66666666666664"/>
    <n v="2150"/>
    <n v="13440"/>
    <n v="4301.0066666666662"/>
    <n v="2151.0066666666662"/>
    <x v="1"/>
    <x v="10"/>
    <n v="10"/>
    <x v="0"/>
    <x v="3"/>
    <x v="0"/>
    <n v="32.001537698412697"/>
    <n v="16.004513888888887"/>
  </r>
  <r>
    <d v="2023-10-31T00:00:00"/>
    <n v="7154.9800000000014"/>
    <n v="8240"/>
    <n v="1085.0199999999986"/>
    <n v="2601.9499999999994"/>
    <n v="3970"/>
    <n v="1368.0500000000006"/>
    <n v="475.66000000000025"/>
    <n v="1280"/>
    <n v="804.33999999999969"/>
    <n v="1883.3333333333333"/>
    <n v="2350"/>
    <n v="466.66666666666674"/>
    <n v="2150"/>
    <n v="15840"/>
    <n v="3724.0766666666655"/>
    <n v="1574.0766666666659"/>
    <x v="1"/>
    <x v="10"/>
    <n v="10"/>
    <x v="0"/>
    <x v="4"/>
    <x v="0"/>
    <n v="23.510585016835009"/>
    <n v="9.9373526936026888"/>
  </r>
  <r>
    <d v="2023-11-01T00:00:00"/>
    <n v="7753.7950000000001"/>
    <n v="7790"/>
    <n v="36.205000000000837"/>
    <n v="2586.8000000000002"/>
    <n v="5900"/>
    <n v="3313.2"/>
    <n v="413.36000000000013"/>
    <n v="1000"/>
    <n v="586.63999999999987"/>
    <n v="2141.666666666667"/>
    <n v="2730"/>
    <n v="588.33333333333303"/>
    <n v="2150"/>
    <n v="17420"/>
    <n v="4524.378333333334"/>
    <n v="2374.378333333334"/>
    <x v="1"/>
    <x v="11"/>
    <n v="11"/>
    <x v="0"/>
    <x v="5"/>
    <x v="0"/>
    <n v="25.972321086873329"/>
    <n v="13.630185610409495"/>
  </r>
  <r>
    <d v="2023-11-02T00:00:00"/>
    <n v="8010.1200000000035"/>
    <n v="7700"/>
    <n v="-310.12000000000262"/>
    <n v="2194.1999999999998"/>
    <n v="3100"/>
    <n v="905.80000000000018"/>
    <n v="1739.6399999999999"/>
    <n v="4060"/>
    <n v="2320.36"/>
    <n v="1825"/>
    <n v="2300"/>
    <n v="475"/>
    <n v="2150"/>
    <n v="17160"/>
    <n v="3391.0399999999977"/>
    <n v="1241.0399999999977"/>
    <x v="1"/>
    <x v="11"/>
    <n v="11"/>
    <x v="0"/>
    <x v="6"/>
    <x v="0"/>
    <n v="19.761305361305347"/>
    <n v="7.2321678321678187"/>
  </r>
  <r>
    <d v="2023-11-03T00:00:00"/>
    <n v="7308.1099999999988"/>
    <n v="5835"/>
    <n v="-1473.1099999999981"/>
    <n v="1859.7999999999995"/>
    <n v="3800"/>
    <n v="1940.2000000000005"/>
    <n v="304.41999999999996"/>
    <n v="1000"/>
    <n v="695.58"/>
    <n v="2275"/>
    <n v="2830"/>
    <n v="555"/>
    <n v="2150"/>
    <n v="13465"/>
    <n v="1717.6700000000028"/>
    <n v="-432.3299999999972"/>
    <x v="1"/>
    <x v="11"/>
    <n v="11"/>
    <x v="0"/>
    <x v="0"/>
    <x v="1"/>
    <n v="12.756554028964"/>
    <n v="-3.2107686594875395"/>
  </r>
  <r>
    <d v="2023-11-04T00:00:00"/>
    <n v="5617.3500000000013"/>
    <n v="7350"/>
    <n v="1732.6499999999987"/>
    <n v="3565.7500000000005"/>
    <n v="6950"/>
    <n v="3384.2499999999995"/>
    <n v="373.46000000000009"/>
    <n v="480"/>
    <n v="106.53999999999991"/>
    <n v="566.66666666666663"/>
    <n v="850"/>
    <n v="283.33333333333337"/>
    <n v="2150"/>
    <n v="15630"/>
    <n v="5506.7733333333308"/>
    <n v="3356.7733333333308"/>
    <x v="1"/>
    <x v="11"/>
    <n v="11"/>
    <x v="0"/>
    <x v="1"/>
    <x v="0"/>
    <n v="35.232075069311136"/>
    <n v="21.476476860737883"/>
  </r>
  <r>
    <d v="2023-11-05T00:00:00"/>
    <n v="8289.4449999999979"/>
    <n v="8110"/>
    <n v="-179.44499999999789"/>
    <n v="2589.6500000000005"/>
    <n v="5650"/>
    <n v="3060.3499999999995"/>
    <n v="1914.02"/>
    <n v="4240"/>
    <n v="2325.98"/>
    <n v="1818.3333333333333"/>
    <n v="2280"/>
    <n v="461.66666666666674"/>
    <n v="2150"/>
    <n v="20280"/>
    <n v="5668.5516666666681"/>
    <n v="3518.5516666666681"/>
    <x v="1"/>
    <x v="11"/>
    <n v="11"/>
    <x v="0"/>
    <x v="2"/>
    <x v="0"/>
    <n v="27.951438198553589"/>
    <n v="17.349860289283374"/>
  </r>
  <r>
    <d v="2023-11-06T00:00:00"/>
    <n v="7063.2199999999984"/>
    <n v="7830"/>
    <n v="766.78000000000156"/>
    <n v="2956.9"/>
    <n v="4170"/>
    <n v="1213.0999999999999"/>
    <n v="1040.9299999999998"/>
    <n v="2640"/>
    <n v="1599.0700000000002"/>
    <n v="1521.6666666666663"/>
    <n v="1920"/>
    <n v="398.33333333333343"/>
    <n v="2150"/>
    <n v="16560"/>
    <n v="3977.2833333333351"/>
    <n v="1827.2833333333351"/>
    <x v="1"/>
    <x v="11"/>
    <n v="11"/>
    <x v="0"/>
    <x v="3"/>
    <x v="0"/>
    <n v="24.017411433172313"/>
    <n v="11.034319645732699"/>
  </r>
  <r>
    <d v="2023-11-07T00:00:00"/>
    <n v="4173.7400000000034"/>
    <n v="7590"/>
    <n v="3416.2599999999966"/>
    <n v="2391"/>
    <n v="3800"/>
    <n v="1409"/>
    <n v="782.19000000000028"/>
    <n v="2280"/>
    <n v="1497.8099999999997"/>
    <n v="2121.666666666667"/>
    <n v="2730"/>
    <n v="608.33333333333303"/>
    <n v="2150"/>
    <n v="16400"/>
    <n v="6931.4033333333291"/>
    <n v="4781.4033333333291"/>
    <x v="1"/>
    <x v="11"/>
    <n v="11"/>
    <x v="0"/>
    <x v="4"/>
    <x v="0"/>
    <n v="42.264654471544688"/>
    <n v="29.154898373983713"/>
  </r>
  <r>
    <d v="2023-11-08T00:00:00"/>
    <n v="6549.79"/>
    <n v="3340"/>
    <n v="-3209.79"/>
    <n v="3266.45"/>
    <n v="6750"/>
    <n v="3483.55"/>
    <n v="963.14999999999986"/>
    <n v="1700"/>
    <n v="736.85000000000014"/>
    <n v="1906.6666666666663"/>
    <n v="2450"/>
    <n v="543.33333333333348"/>
    <n v="2150"/>
    <n v="14240"/>
    <n v="1553.9433333333338"/>
    <n v="-596.05666666666616"/>
    <x v="1"/>
    <x v="11"/>
    <n v="11"/>
    <x v="0"/>
    <x v="5"/>
    <x v="1"/>
    <n v="10.912523408239704"/>
    <n v="-4.1857911985018692"/>
  </r>
  <r>
    <d v="2023-11-09T00:00:00"/>
    <n v="7046.7849999999999"/>
    <n v="5620"/>
    <n v="-1426.7850000000001"/>
    <n v="3203.3500000000004"/>
    <n v="5700"/>
    <n v="2496.6499999999996"/>
    <n v="1482.7099999999996"/>
    <n v="3720"/>
    <n v="2237.2900000000004"/>
    <n v="1246.6666666666667"/>
    <n v="1560"/>
    <n v="313.33333333333326"/>
    <n v="2150"/>
    <n v="16600"/>
    <n v="3620.4883333333337"/>
    <n v="1470.4883333333337"/>
    <x v="1"/>
    <x v="11"/>
    <n v="11"/>
    <x v="0"/>
    <x v="6"/>
    <x v="0"/>
    <n v="21.810170682730927"/>
    <n v="8.8583634538152634"/>
  </r>
  <r>
    <d v="2023-11-10T00:00:00"/>
    <n v="5052.1749999999984"/>
    <n v="4970"/>
    <n v="-82.174999999998363"/>
    <n v="1576.4000000000003"/>
    <n v="3350"/>
    <n v="1773.5999999999997"/>
    <n v="584.1400000000001"/>
    <n v="780"/>
    <n v="195.8599999999999"/>
    <n v="1030"/>
    <n v="1300"/>
    <n v="270"/>
    <n v="2150"/>
    <n v="10400"/>
    <n v="2157.2850000000012"/>
    <n v="7.2850000000012196"/>
    <x v="1"/>
    <x v="11"/>
    <n v="11"/>
    <x v="0"/>
    <x v="0"/>
    <x v="0"/>
    <n v="20.743125000000013"/>
    <n v="7.0048076923088648E-2"/>
  </r>
  <r>
    <d v="2023-11-11T00:00:00"/>
    <n v="5100.1099999999979"/>
    <n v="3890"/>
    <n v="-1210.1099999999981"/>
    <n v="2847.6"/>
    <n v="2240"/>
    <n v="-607.59999999999991"/>
    <n v="956.68"/>
    <n v="3190"/>
    <n v="2233.3200000000002"/>
    <n v="1648.3333333333333"/>
    <n v="2080"/>
    <n v="431.66666666666674"/>
    <n v="2150"/>
    <n v="11400"/>
    <n v="847.27666666666914"/>
    <n v="-1302.7233333333309"/>
    <x v="1"/>
    <x v="11"/>
    <n v="11"/>
    <x v="0"/>
    <x v="1"/>
    <x v="1"/>
    <n v="7.4322514619883258"/>
    <n v="-11.427397660818691"/>
  </r>
  <r>
    <d v="2023-11-12T00:00:00"/>
    <n v="6971.4250000000002"/>
    <n v="7850"/>
    <n v="878.57499999999982"/>
    <n v="3919.849999999999"/>
    <n v="9300"/>
    <n v="5380.1500000000005"/>
    <n v="1199.26"/>
    <n v="2330"/>
    <n v="1130.74"/>
    <n v="1491.6666666666663"/>
    <n v="1900"/>
    <n v="408.33333333333343"/>
    <n v="2150"/>
    <n v="21380"/>
    <n v="7797.7983333333341"/>
    <n v="5647.7983333333341"/>
    <x v="1"/>
    <x v="11"/>
    <n v="11"/>
    <x v="0"/>
    <x v="2"/>
    <x v="0"/>
    <n v="36.472396320548803"/>
    <n v="26.416269098846278"/>
  </r>
  <r>
    <d v="2023-11-13T00:00:00"/>
    <n v="6494.65"/>
    <n v="5890"/>
    <n v="-604.64999999999964"/>
    <n v="1906.65"/>
    <n v="2790"/>
    <n v="883.3499999999998"/>
    <n v="1030.8599999999999"/>
    <n v="1230"/>
    <n v="199.1400000000001"/>
    <n v="1173.3333333333337"/>
    <n v="1490"/>
    <n v="316.66666666666652"/>
    <n v="2150"/>
    <n v="11400"/>
    <n v="794.50666666666689"/>
    <n v="-1355.4933333333331"/>
    <x v="1"/>
    <x v="11"/>
    <n v="11"/>
    <x v="0"/>
    <x v="3"/>
    <x v="1"/>
    <n v="6.9693567251462003"/>
    <n v="-11.890292397660817"/>
  </r>
  <r>
    <d v="2023-11-14T00:00:00"/>
    <n v="4304.869999999999"/>
    <n v="4210"/>
    <n v="-94.869999999998981"/>
    <n v="2847.6"/>
    <n v="2240"/>
    <n v="-607.59999999999991"/>
    <n v="956.68"/>
    <n v="3190"/>
    <n v="2233.3200000000002"/>
    <n v="4100"/>
    <n v="5170"/>
    <n v="1070"/>
    <n v="2150"/>
    <n v="14810"/>
    <n v="2600.8500000000013"/>
    <n v="450.85000000000127"/>
    <x v="1"/>
    <x v="11"/>
    <n v="11"/>
    <x v="0"/>
    <x v="4"/>
    <x v="0"/>
    <n v="17.561444969615135"/>
    <n v="3.0442268737339724"/>
  </r>
  <r>
    <d v="2023-11-15T00:00:00"/>
    <n v="6709.0700000000024"/>
    <n v="4080"/>
    <n v="-2629.0700000000024"/>
    <n v="2387.6999999999998"/>
    <n v="4400"/>
    <n v="2012.3"/>
    <n v="0"/>
    <n v="0"/>
    <n v="0"/>
    <n v="1510"/>
    <n v="1880"/>
    <n v="370"/>
    <n v="2150"/>
    <n v="10360"/>
    <n v="-246.77000000000223"/>
    <n v="-2396.7700000000023"/>
    <x v="1"/>
    <x v="11"/>
    <n v="11"/>
    <x v="0"/>
    <x v="5"/>
    <x v="1"/>
    <n v="-2.3819498069498284"/>
    <n v="-23.134845559845584"/>
  </r>
  <r>
    <d v="2023-11-16T00:00:00"/>
    <n v="5052.6849999999977"/>
    <n v="5730"/>
    <n v="677.31500000000233"/>
    <n v="1161.8999999999994"/>
    <n v="3050"/>
    <n v="1888.1000000000008"/>
    <n v="606.60000000000014"/>
    <n v="0"/>
    <n v="-606.60000000000014"/>
    <n v="1223.3333333333337"/>
    <n v="1580"/>
    <n v="356.66666666666652"/>
    <n v="2150"/>
    <n v="10360"/>
    <n v="2315.4816666666693"/>
    <n v="165.4816666666693"/>
    <x v="1"/>
    <x v="11"/>
    <n v="11"/>
    <x v="0"/>
    <x v="6"/>
    <x v="0"/>
    <n v="22.350209137709161"/>
    <n v="1.5973133848134102"/>
  </r>
  <r>
    <d v="2023-11-17T00:00:00"/>
    <n v="6367.3950000000013"/>
    <n v="7240"/>
    <n v="872.60499999999877"/>
    <n v="1371.2000000000005"/>
    <n v="900"/>
    <n v="-471.20000000000022"/>
    <n v="651.54999999999995"/>
    <n v="2350"/>
    <n v="1698.45"/>
    <n v="1238.3333333333333"/>
    <n v="1550"/>
    <n v="311.66666666666674"/>
    <n v="2150"/>
    <n v="12040"/>
    <n v="2411.5216666666656"/>
    <n v="261.52166666666562"/>
    <x v="1"/>
    <x v="11"/>
    <n v="11"/>
    <x v="0"/>
    <x v="0"/>
    <x v="0"/>
    <n v="20.029249723145064"/>
    <n v="2.1721068660022063"/>
  </r>
  <r>
    <d v="2023-11-18T00:00:00"/>
    <n v="6949.29"/>
    <n v="4910"/>
    <n v="-2039.29"/>
    <n v="1880.2999999999995"/>
    <n v="3950"/>
    <n v="2069.7000000000003"/>
    <n v="984.11999999999989"/>
    <n v="3150"/>
    <n v="2165.88"/>
    <n v="1603.3333333333333"/>
    <n v="2080"/>
    <n v="476.66666666666674"/>
    <n v="2150"/>
    <n v="14090"/>
    <n v="2672.9566666666669"/>
    <n v="522.95666666666693"/>
    <x v="1"/>
    <x v="11"/>
    <n v="11"/>
    <x v="0"/>
    <x v="1"/>
    <x v="0"/>
    <n v="18.970593801750653"/>
    <n v="3.711544830849304"/>
  </r>
  <r>
    <d v="2023-11-19T00:00:00"/>
    <n v="5353.0649999999978"/>
    <n v="5080"/>
    <n v="-273.06499999999778"/>
    <n v="1434.3000000000002"/>
    <n v="2400"/>
    <n v="965.69999999999982"/>
    <n v="939.78999999999985"/>
    <n v="1860"/>
    <n v="920.21000000000015"/>
    <n v="1105"/>
    <n v="1400"/>
    <n v="295"/>
    <n v="2150"/>
    <n v="10740"/>
    <n v="1907.8450000000021"/>
    <n v="-242.15499999999793"/>
    <x v="1"/>
    <x v="11"/>
    <n v="11"/>
    <x v="0"/>
    <x v="2"/>
    <x v="1"/>
    <n v="17.763919925512123"/>
    <n v="-2.254702048417113"/>
  </r>
  <r>
    <d v="2023-11-20T00:00:00"/>
    <n v="4521.635000000002"/>
    <n v="6230"/>
    <n v="1708.364999999998"/>
    <n v="1070.25"/>
    <n v="1900"/>
    <n v="829.75"/>
    <n v="0"/>
    <n v="0"/>
    <n v="0"/>
    <n v="1023.3333333333334"/>
    <n v="1270"/>
    <n v="246.66666666666663"/>
    <n v="2150"/>
    <n v="9400"/>
    <n v="2784.7816666666645"/>
    <n v="634.78166666666448"/>
    <x v="1"/>
    <x v="11"/>
    <n v="11"/>
    <x v="0"/>
    <x v="3"/>
    <x v="0"/>
    <n v="29.625336879432602"/>
    <n v="6.7529964539006864"/>
  </r>
  <r>
    <d v="2023-11-21T00:00:00"/>
    <n v="4548.58"/>
    <n v="2720"/>
    <n v="-1828.58"/>
    <n v="3945.3"/>
    <n v="7200"/>
    <n v="3254.7"/>
    <n v="361.31000000000023"/>
    <n v="980"/>
    <n v="618.68999999999983"/>
    <n v="936.66666666666674"/>
    <n v="1210"/>
    <n v="273.33333333333326"/>
    <n v="2150"/>
    <n v="12110"/>
    <n v="2318.143333333333"/>
    <n v="168.14333333333298"/>
    <x v="1"/>
    <x v="11"/>
    <n v="11"/>
    <x v="0"/>
    <x v="4"/>
    <x v="0"/>
    <n v="19.142389210019264"/>
    <n v="1.38846683181943"/>
  </r>
  <r>
    <d v="2023-11-22T00:00:00"/>
    <n v="5448.9799999999987"/>
    <n v="4020"/>
    <n v="-1428.9799999999989"/>
    <n v="1681.3499999999997"/>
    <n v="3350"/>
    <n v="1668.6500000000003"/>
    <n v="271.3599999999999"/>
    <n v="730"/>
    <n v="458.6400000000001"/>
    <n v="925.00000000000011"/>
    <n v="1190"/>
    <n v="264.99999999999989"/>
    <n v="2150"/>
    <n v="9290"/>
    <n v="963.31000000000165"/>
    <n v="-1186.6899999999982"/>
    <x v="1"/>
    <x v="11"/>
    <n v="11"/>
    <x v="0"/>
    <x v="5"/>
    <x v="1"/>
    <n v="10.369321851453194"/>
    <n v="-12.773842841765321"/>
  </r>
  <r>
    <d v="2023-11-23T00:00:00"/>
    <n v="5003.9300000000021"/>
    <n v="5770"/>
    <n v="766.06999999999789"/>
    <n v="955.9000000000002"/>
    <n v="2450"/>
    <n v="1494.1"/>
    <n v="0"/>
    <n v="0"/>
    <n v="0"/>
    <n v="1100"/>
    <n v="1420"/>
    <n v="320"/>
    <n v="2150"/>
    <n v="9640"/>
    <n v="2580.1699999999978"/>
    <n v="430.1699999999978"/>
    <x v="1"/>
    <x v="11"/>
    <n v="11"/>
    <x v="0"/>
    <x v="6"/>
    <x v="0"/>
    <n v="26.76524896265558"/>
    <n v="4.4623443983402264"/>
  </r>
  <r>
    <d v="2023-11-24T00:00:00"/>
    <n v="5463.2549999999992"/>
    <n v="6560"/>
    <n v="1096.7450000000008"/>
    <n v="1610.5"/>
    <n v="2150"/>
    <n v="539.5"/>
    <n v="612.46999999999991"/>
    <n v="2010"/>
    <n v="1397.5300000000002"/>
    <n v="725"/>
    <n v="940"/>
    <n v="215"/>
    <n v="2150"/>
    <n v="11660"/>
    <n v="3248.775000000001"/>
    <n v="1098.775000000001"/>
    <x v="1"/>
    <x v="11"/>
    <n v="11"/>
    <x v="0"/>
    <x v="0"/>
    <x v="0"/>
    <n v="27.862564322469989"/>
    <n v="9.4234562607204193"/>
  </r>
  <r>
    <d v="2023-11-25T00:00:00"/>
    <n v="5938.65"/>
    <n v="7140"/>
    <n v="1201.3500000000004"/>
    <n v="2878.3500000000008"/>
    <n v="5150"/>
    <n v="2271.6499999999992"/>
    <n v="1526.68"/>
    <n v="3280"/>
    <n v="1753.32"/>
    <n v="1263.3333333333333"/>
    <n v="1580"/>
    <n v="316.66666666666674"/>
    <n v="2150"/>
    <n v="17150"/>
    <n v="5542.9866666666667"/>
    <n v="3392.9866666666667"/>
    <x v="1"/>
    <x v="11"/>
    <n v="11"/>
    <x v="0"/>
    <x v="1"/>
    <x v="0"/>
    <n v="32.320621963070941"/>
    <n v="19.784178814382898"/>
  </r>
  <r>
    <d v="2023-11-26T00:00:00"/>
    <n v="5404.715000000002"/>
    <n v="5430"/>
    <n v="25.284999999998035"/>
    <n v="1586.3"/>
    <n v="1850"/>
    <n v="263.70000000000005"/>
    <n v="485.46000000000004"/>
    <n v="1280"/>
    <n v="794.54"/>
    <n v="1218.3333333333337"/>
    <n v="1540"/>
    <n v="321.66666666666652"/>
    <n v="2150"/>
    <n v="10100"/>
    <n v="1405.1916666666646"/>
    <n v="-744.80833333333533"/>
    <x v="1"/>
    <x v="11"/>
    <n v="11"/>
    <x v="0"/>
    <x v="2"/>
    <x v="1"/>
    <n v="13.912788778877866"/>
    <n v="-7.3743399339934195"/>
  </r>
  <r>
    <d v="2023-11-27T00:00:00"/>
    <n v="4904.7899999999991"/>
    <n v="6550"/>
    <n v="1645.2100000000007"/>
    <n v="693.1099999999999"/>
    <n v="1950"/>
    <n v="1256.8900000000001"/>
    <n v="77.000000000000057"/>
    <n v="400"/>
    <n v="322.99999999999994"/>
    <n v="605"/>
    <n v="790"/>
    <n v="185"/>
    <n v="2150"/>
    <n v="9690"/>
    <n v="3410.1000000000013"/>
    <n v="1260.1000000000013"/>
    <x v="1"/>
    <x v="11"/>
    <n v="11"/>
    <x v="0"/>
    <x v="3"/>
    <x v="0"/>
    <n v="35.191950464396299"/>
    <n v="13.004127966976279"/>
  </r>
  <r>
    <d v="2023-11-28T00:00:00"/>
    <n v="4473.7199999999993"/>
    <n v="3530"/>
    <n v="-943.71999999999935"/>
    <n v="1685.8"/>
    <n v="3050"/>
    <n v="1364.2"/>
    <n v="725.02"/>
    <n v="1900"/>
    <n v="1174.98"/>
    <n v="863.33333333333348"/>
    <n v="1080"/>
    <n v="216.66666666666663"/>
    <n v="2150"/>
    <n v="9560"/>
    <n v="1812.1266666666677"/>
    <n v="-337.87333333333254"/>
    <x v="1"/>
    <x v="11"/>
    <n v="11"/>
    <x v="0"/>
    <x v="4"/>
    <x v="1"/>
    <n v="18.955299860529998"/>
    <n v="-3.5342398884239805"/>
  </r>
  <r>
    <d v="2023-11-29T00:00:00"/>
    <n v="4843.91"/>
    <n v="6290"/>
    <n v="1446.09"/>
    <n v="1546.1"/>
    <n v="2000"/>
    <n v="453.90000000000009"/>
    <n v="596.96"/>
    <n v="1330"/>
    <n v="733.04"/>
    <n v="1060"/>
    <n v="1380"/>
    <n v="320"/>
    <n v="2150"/>
    <n v="11000"/>
    <n v="2953.03"/>
    <n v="803.0300000000002"/>
    <x v="1"/>
    <x v="11"/>
    <n v="11"/>
    <x v="0"/>
    <x v="5"/>
    <x v="0"/>
    <n v="26.845727272727277"/>
    <n v="7.3002727272727288"/>
  </r>
  <r>
    <d v="2023-11-30T00:00:00"/>
    <n v="6358.7200000000012"/>
    <n v="6120"/>
    <n v="-238.72000000000116"/>
    <n v="2312.36"/>
    <n v="3600"/>
    <n v="1287.6400000000001"/>
    <n v="1108.0700000000002"/>
    <n v="2880"/>
    <n v="1771.9299999999998"/>
    <n v="971.66666666666674"/>
    <n v="1280"/>
    <n v="308.33333333333326"/>
    <n v="2150"/>
    <n v="13880"/>
    <n v="3129.1833333333316"/>
    <n v="979.18333333333157"/>
    <x v="1"/>
    <x v="11"/>
    <n v="11"/>
    <x v="0"/>
    <x v="6"/>
    <x v="0"/>
    <n v="22.544548511047058"/>
    <n v="7.0546349663784707"/>
  </r>
  <r>
    <d v="2023-12-01T00:00:00"/>
    <n v="7534.1099999999988"/>
    <n v="7380"/>
    <n v="-154.10999999999876"/>
    <n v="3469.79"/>
    <n v="4950"/>
    <n v="1480.21"/>
    <n v="275.66000000000008"/>
    <n v="750"/>
    <n v="474.33999999999992"/>
    <n v="846.66666666666674"/>
    <n v="1080"/>
    <n v="233.33333333333329"/>
    <n v="2150"/>
    <n v="14160"/>
    <n v="2033.7733333333344"/>
    <n v="-116.22666666666557"/>
    <x v="1"/>
    <x v="0"/>
    <n v="12"/>
    <x v="0"/>
    <x v="0"/>
    <x v="1"/>
    <n v="14.362806026365357"/>
    <n v="-0.82080979284368338"/>
  </r>
  <r>
    <d v="2023-12-02T00:00:00"/>
    <n v="6336.2650000000003"/>
    <n v="5930"/>
    <n v="-406.26500000000033"/>
    <n v="1876.6"/>
    <n v="3550"/>
    <n v="1673.4"/>
    <n v="236.64999999999992"/>
    <n v="750"/>
    <n v="513.35000000000014"/>
    <n v="1648.3333333333333"/>
    <n v="2100"/>
    <n v="451.66666666666674"/>
    <n v="2150"/>
    <n v="12330"/>
    <n v="2232.1516666666662"/>
    <n v="82.151666666666642"/>
    <x v="1"/>
    <x v="0"/>
    <n v="12"/>
    <x v="0"/>
    <x v="1"/>
    <x v="0"/>
    <n v="18.103419843200861"/>
    <n v="0.66627466882941311"/>
  </r>
  <r>
    <d v="2023-12-03T00:00:00"/>
    <n v="5857.3350000000009"/>
    <n v="5210"/>
    <n v="-647.33500000000095"/>
    <n v="1459.7500000000002"/>
    <n v="2300"/>
    <n v="840.24999999999989"/>
    <n v="395.09"/>
    <n v="1350"/>
    <n v="954.91000000000008"/>
    <n v="998.33333333333326"/>
    <n v="1270"/>
    <n v="271.66666666666674"/>
    <n v="2150"/>
    <n v="10130"/>
    <n v="1419.4916666666657"/>
    <n v="-730.50833333333435"/>
    <x v="1"/>
    <x v="0"/>
    <n v="12"/>
    <x v="0"/>
    <x v="2"/>
    <x v="1"/>
    <n v="14.012750904902918"/>
    <n v="-7.2113359657782263"/>
  </r>
  <r>
    <d v="2023-12-04T00:00:00"/>
    <n v="6444.5649999999987"/>
    <n v="6450"/>
    <n v="5.4350000000013097"/>
    <n v="2983.2500000000005"/>
    <n v="4300"/>
    <n v="1316.7499999999995"/>
    <n v="390.57000000000005"/>
    <n v="480"/>
    <n v="89.42999999999995"/>
    <n v="1076.6666666666663"/>
    <n v="1390"/>
    <n v="313.33333333333348"/>
    <n v="2150"/>
    <n v="12620"/>
    <n v="1724.9483333333342"/>
    <n v="-425.05166666666582"/>
    <x v="1"/>
    <x v="0"/>
    <n v="12"/>
    <x v="0"/>
    <x v="3"/>
    <x v="1"/>
    <n v="13.668370311674597"/>
    <n v="-3.3680797675647058"/>
  </r>
  <r>
    <d v="2023-12-05T00:00:00"/>
    <n v="4780.9750000000022"/>
    <n v="6810"/>
    <n v="2029.0249999999976"/>
    <n v="2249.3000000000006"/>
    <n v="5200"/>
    <n v="2950.6999999999994"/>
    <n v="1071.51"/>
    <n v="1630"/>
    <n v="558.49"/>
    <n v="666.66666666666663"/>
    <n v="850"/>
    <n v="183.33333333333337"/>
    <n v="2150"/>
    <n v="14490"/>
    <n v="5721.5483333333295"/>
    <n v="3571.5483333333295"/>
    <x v="1"/>
    <x v="0"/>
    <n v="12"/>
    <x v="0"/>
    <x v="4"/>
    <x v="0"/>
    <n v="39.486185875316281"/>
    <n v="24.648366689671011"/>
  </r>
  <r>
    <d v="2023-12-06T00:00:00"/>
    <n v="5050.8380000000006"/>
    <n v="5190"/>
    <n v="139.16199999999935"/>
    <n v="1610.8"/>
    <n v="2100"/>
    <n v="489.2000000000001"/>
    <n v="1090.0200000000002"/>
    <n v="1210"/>
    <n v="119.97999999999979"/>
    <n v="531.66666666666663"/>
    <n v="670"/>
    <n v="138.33333333333337"/>
    <n v="2150"/>
    <n v="9170"/>
    <n v="886.67533333333245"/>
    <n v="-1263.3246666666671"/>
    <x v="1"/>
    <x v="0"/>
    <n v="12"/>
    <x v="0"/>
    <x v="5"/>
    <x v="1"/>
    <n v="9.6693057070156208"/>
    <n v="-13.77671392221011"/>
  </r>
  <r>
    <d v="2023-12-07T00:00:00"/>
    <n v="5713.7349999999979"/>
    <n v="3650"/>
    <n v="-2063.7349999999979"/>
    <n v="2826.5000000000005"/>
    <n v="5350"/>
    <n v="2523.4999999999995"/>
    <n v="643.38000000000011"/>
    <n v="1530"/>
    <n v="886.61999999999989"/>
    <n v="783.33333333333348"/>
    <n v="990"/>
    <n v="206.66666666666663"/>
    <n v="2150"/>
    <n v="11520"/>
    <n v="1553.0516666666681"/>
    <n v="-596.9483333333319"/>
    <x v="1"/>
    <x v="0"/>
    <n v="12"/>
    <x v="0"/>
    <x v="6"/>
    <x v="1"/>
    <n v="13.48135127314816"/>
    <n v="-5.1818431712962836"/>
  </r>
  <r>
    <d v="2023-12-08T00:00:00"/>
    <n v="7436.2700000000013"/>
    <n v="6020"/>
    <n v="-1416.2700000000011"/>
    <n v="939.8"/>
    <n v="1950"/>
    <n v="1010.2"/>
    <n v="446.95000000000005"/>
    <n v="1200"/>
    <n v="753.05"/>
    <n v="423.33333333333326"/>
    <n v="540"/>
    <n v="116.66666666666669"/>
    <n v="2150"/>
    <n v="9710"/>
    <n v="463.64666666666523"/>
    <n v="-1686.3533333333348"/>
    <x v="1"/>
    <x v="0"/>
    <n v="12"/>
    <x v="0"/>
    <x v="0"/>
    <x v="1"/>
    <n v="4.7749399244764703"/>
    <n v="-17.367181599725384"/>
  </r>
  <r>
    <d v="2023-12-09T00:00:00"/>
    <n v="4216.4699999999993"/>
    <n v="5140"/>
    <n v="923.53000000000065"/>
    <n v="3137.1499999999996"/>
    <n v="6450"/>
    <n v="3312.8500000000004"/>
    <n v="334.34"/>
    <n v="1280"/>
    <n v="945.66000000000008"/>
    <n v="1046.6666666666663"/>
    <n v="1320"/>
    <n v="273.33333333333348"/>
    <n v="2150"/>
    <n v="14190"/>
    <n v="5455.3733333333348"/>
    <n v="3305.3733333333348"/>
    <x v="1"/>
    <x v="0"/>
    <n v="12"/>
    <x v="0"/>
    <x v="1"/>
    <x v="0"/>
    <n v="38.445196147521735"/>
    <n v="23.293680996006589"/>
  </r>
  <r>
    <d v="2023-12-10T00:00:00"/>
    <n v="6326.7399999999989"/>
    <n v="5530"/>
    <n v="-796.73999999999887"/>
    <n v="3680.3"/>
    <n v="6450"/>
    <n v="2769.7000000000003"/>
    <n v="966.95"/>
    <n v="1510"/>
    <n v="543.04999999999995"/>
    <n v="1263.3333333333337"/>
    <n v="1580"/>
    <n v="316.66666666666652"/>
    <n v="2150"/>
    <n v="15070"/>
    <n v="2832.6766666666681"/>
    <n v="682.6766666666681"/>
    <x v="1"/>
    <x v="0"/>
    <n v="12"/>
    <x v="0"/>
    <x v="2"/>
    <x v="0"/>
    <n v="18.796792744967934"/>
    <n v="4.5300376023003857"/>
  </r>
  <r>
    <d v="2023-12-11T00:00:00"/>
    <n v="5554.71"/>
    <n v="7920"/>
    <n v="2365.29"/>
    <n v="2246.6999999999998"/>
    <n v="3600"/>
    <n v="1353.3000000000002"/>
    <n v="869.67"/>
    <n v="2010"/>
    <n v="1140.33"/>
    <n v="1263.3333333333333"/>
    <n v="1590"/>
    <n v="326.66666666666674"/>
    <n v="2150"/>
    <n v="15120"/>
    <n v="5185.586666666667"/>
    <n v="3035.586666666667"/>
    <x v="1"/>
    <x v="0"/>
    <n v="12"/>
    <x v="0"/>
    <x v="3"/>
    <x v="0"/>
    <n v="34.29620811287478"/>
    <n v="20.076631393298062"/>
  </r>
  <r>
    <d v="2023-12-12T00:00:00"/>
    <n v="5680.7949999999992"/>
    <n v="4140"/>
    <n v="-1540.7949999999992"/>
    <n v="1371.9499999999998"/>
    <n v="2150"/>
    <n v="778.05000000000018"/>
    <n v="1429.9099999999999"/>
    <n v="1360"/>
    <n v="-69.909999999999854"/>
    <n v="735"/>
    <n v="930"/>
    <n v="195"/>
    <n v="2150"/>
    <n v="8580"/>
    <n v="-637.65499999999884"/>
    <n v="-2787.6549999999988"/>
    <x v="1"/>
    <x v="0"/>
    <n v="12"/>
    <x v="0"/>
    <x v="4"/>
    <x v="1"/>
    <n v="-7.4318764568764433"/>
    <n v="-32.490151515151503"/>
  </r>
  <r>
    <d v="2023-12-13T00:00:00"/>
    <n v="4880.545000000001"/>
    <n v="5540"/>
    <n v="659.45499999999902"/>
    <n v="2799.8999999999996"/>
    <n v="4950"/>
    <n v="2150.1000000000004"/>
    <n v="777.27999999999986"/>
    <n v="2410"/>
    <n v="1632.7200000000003"/>
    <n v="826.66666666666652"/>
    <n v="1050"/>
    <n v="223.33333333333337"/>
    <n v="2150"/>
    <n v="13950"/>
    <n v="4665.6083333333327"/>
    <n v="2515.6083333333327"/>
    <x v="1"/>
    <x v="0"/>
    <n v="12"/>
    <x v="0"/>
    <x v="5"/>
    <x v="0"/>
    <n v="33.445221027479086"/>
    <n v="18.033034647550771"/>
  </r>
  <r>
    <d v="2023-12-14T00:00:00"/>
    <n v="6066.329999999999"/>
    <n v="5160"/>
    <n v="-906.32999999999902"/>
    <n v="1900.2"/>
    <n v="4550"/>
    <n v="2649.8"/>
    <n v="123.15000000000008"/>
    <n v="730"/>
    <n v="606.84999999999991"/>
    <n v="1443.3333333333337"/>
    <n v="1810"/>
    <n v="366.66666666666657"/>
    <n v="2150"/>
    <n v="12250"/>
    <n v="2716.9866666666676"/>
    <n v="566.98666666666759"/>
    <x v="1"/>
    <x v="0"/>
    <n v="12"/>
    <x v="0"/>
    <x v="6"/>
    <x v="0"/>
    <n v="22.179482993197286"/>
    <n v="4.6284625850340211"/>
  </r>
  <r>
    <d v="2023-12-15T00:00:00"/>
    <n v="6419.7249999999985"/>
    <n v="5060"/>
    <n v="-1359.7249999999983"/>
    <n v="3776.2000000000016"/>
    <n v="7350"/>
    <n v="3573.7999999999988"/>
    <n v="263.26"/>
    <n v="1460"/>
    <n v="1196.74"/>
    <n v="1056.6666666666667"/>
    <n v="1370"/>
    <n v="313.33333333333326"/>
    <n v="2150"/>
    <n v="15240"/>
    <n v="3724.1483333333335"/>
    <n v="1574.1483333333335"/>
    <x v="1"/>
    <x v="0"/>
    <n v="12"/>
    <x v="0"/>
    <x v="0"/>
    <x v="0"/>
    <n v="24.436668853893266"/>
    <n v="10.329057305336836"/>
  </r>
  <r>
    <d v="2023-12-16T00:00:00"/>
    <n v="5287.4450000000024"/>
    <n v="2390"/>
    <n v="-2897.4450000000024"/>
    <n v="2791.95"/>
    <n v="5150"/>
    <n v="2358.0500000000002"/>
    <n v="691.07"/>
    <n v="1940"/>
    <n v="1248.9299999999998"/>
    <n v="890"/>
    <n v="1140"/>
    <n v="250"/>
    <n v="2150"/>
    <n v="10620"/>
    <n v="959.53499999999758"/>
    <n v="-1190.4650000000024"/>
    <x v="1"/>
    <x v="0"/>
    <n v="12"/>
    <x v="0"/>
    <x v="1"/>
    <x v="1"/>
    <n v="9.0351694915254015"/>
    <n v="-11.209651600753318"/>
  </r>
  <r>
    <d v="2023-12-17T00:00:00"/>
    <n v="6114.7199999999984"/>
    <n v="4750"/>
    <n v="-1364.7199999999984"/>
    <n v="1400.4999999999998"/>
    <n v="2700"/>
    <n v="1299.5000000000002"/>
    <n v="951.55"/>
    <n v="730"/>
    <n v="-221.54999999999995"/>
    <n v="853.33333333333348"/>
    <n v="1100"/>
    <n v="246.66666666666663"/>
    <n v="2150"/>
    <n v="9280"/>
    <n v="-40.103333333331534"/>
    <n v="-2190.1033333333316"/>
    <x v="1"/>
    <x v="0"/>
    <n v="12"/>
    <x v="0"/>
    <x v="2"/>
    <x v="1"/>
    <n v="-0.43214798850572772"/>
    <n v="-23.600251436781591"/>
  </r>
  <r>
    <d v="2023-12-18T00:00:00"/>
    <n v="4954.510000000002"/>
    <n v="4540"/>
    <n v="-414.51000000000209"/>
    <n v="1137.8499999999999"/>
    <n v="1550"/>
    <n v="412.14999999999986"/>
    <n v="124.50000000000001"/>
    <n v="0"/>
    <n v="-124.50000000000001"/>
    <n v="1301.6666666666667"/>
    <n v="1650"/>
    <n v="348.33333333333326"/>
    <n v="2150"/>
    <n v="7740"/>
    <n v="221.47333333333108"/>
    <n v="-1928.5266666666687"/>
    <x v="1"/>
    <x v="0"/>
    <n v="12"/>
    <x v="0"/>
    <x v="3"/>
    <x v="1"/>
    <n v="2.8614125753660344"/>
    <n v="-24.91636520241174"/>
  </r>
  <r>
    <d v="2023-12-19T00:00:00"/>
    <n v="5477.3049999999976"/>
    <n v="4020"/>
    <n v="-1457.3049999999976"/>
    <n v="2749.0499999999997"/>
    <n v="4590"/>
    <n v="1840.9500000000005"/>
    <n v="89.95"/>
    <n v="250"/>
    <n v="160.05000000000001"/>
    <n v="375"/>
    <n v="480"/>
    <n v="105"/>
    <n v="2150"/>
    <n v="9340"/>
    <n v="648.69500000000266"/>
    <n v="-1501.3049999999971"/>
    <x v="1"/>
    <x v="0"/>
    <n v="12"/>
    <x v="0"/>
    <x v="4"/>
    <x v="1"/>
    <n v="6.9453426124197293"/>
    <n v="-16.073929336188407"/>
  </r>
  <r>
    <d v="2023-12-20T00:00:00"/>
    <n v="6686.8750000000009"/>
    <n v="6530"/>
    <n v="-156.87500000000091"/>
    <n v="3129.8"/>
    <n v="5840"/>
    <n v="2710.2"/>
    <n v="87.15"/>
    <n v="0"/>
    <n v="-87.15"/>
    <n v="941.66666666666674"/>
    <n v="1210"/>
    <n v="268.33333333333326"/>
    <n v="2150"/>
    <n v="13580"/>
    <n v="2734.5083333333323"/>
    <n v="584.5083333333323"/>
    <x v="1"/>
    <x v="0"/>
    <n v="12"/>
    <x v="0"/>
    <x v="5"/>
    <x v="0"/>
    <n v="20.136291114383891"/>
    <n v="4.3041850760922848"/>
  </r>
  <r>
    <d v="2023-12-21T00:00:00"/>
    <n v="5881.7000000000007"/>
    <n v="2910"/>
    <n v="-2971.7000000000007"/>
    <n v="2074.2999999999993"/>
    <n v="2790"/>
    <n v="715.70000000000073"/>
    <n v="519.64999999999986"/>
    <n v="250"/>
    <n v="-269.64999999999986"/>
    <n v="855"/>
    <n v="1080"/>
    <n v="225"/>
    <n v="2150"/>
    <n v="7030"/>
    <n v="-2300.6499999999996"/>
    <n v="-4450.6499999999996"/>
    <x v="1"/>
    <x v="0"/>
    <n v="12"/>
    <x v="0"/>
    <x v="6"/>
    <x v="1"/>
    <n v="-32.726173541963007"/>
    <n v="-63.309388335704121"/>
  </r>
  <r>
    <d v="2023-12-22T00:00:00"/>
    <n v="5368.0749999999962"/>
    <n v="8360"/>
    <n v="2991.9250000000038"/>
    <n v="908.6500000000002"/>
    <n v="1470"/>
    <n v="561.3499999999998"/>
    <n v="419.91000000000008"/>
    <n v="980"/>
    <n v="560.08999999999992"/>
    <n v="378.33333333333326"/>
    <n v="500"/>
    <n v="121.66666666666669"/>
    <n v="2150"/>
    <n v="11310"/>
    <n v="4235.0316666666704"/>
    <n v="2085.0316666666704"/>
    <x v="1"/>
    <x v="0"/>
    <n v="12"/>
    <x v="0"/>
    <x v="0"/>
    <x v="0"/>
    <n v="37.445019157088154"/>
    <n v="18.435293250810524"/>
  </r>
  <r>
    <d v="2023-12-23T00:00:00"/>
    <n v="6608.3940000000048"/>
    <n v="5250"/>
    <n v="-1358.3940000000048"/>
    <n v="1246.1499999999996"/>
    <n v="2850"/>
    <n v="1603.8500000000004"/>
    <n v="0"/>
    <n v="0"/>
    <n v="0"/>
    <n v="715"/>
    <n v="910"/>
    <n v="195"/>
    <n v="2150"/>
    <n v="9010"/>
    <n v="440.45599999999558"/>
    <n v="-1709.5440000000044"/>
    <x v="1"/>
    <x v="0"/>
    <n v="12"/>
    <x v="0"/>
    <x v="1"/>
    <x v="1"/>
    <n v="4.8885238623750897"/>
    <n v="-18.97385127635965"/>
  </r>
  <r>
    <d v="2023-12-24T00:00:00"/>
    <n v="5501.6559999999963"/>
    <n v="3510"/>
    <n v="-1991.6559999999963"/>
    <n v="4225.55"/>
    <n v="8400"/>
    <n v="4174.45"/>
    <n v="1455.24"/>
    <n v="3050"/>
    <n v="1594.76"/>
    <n v="1856.6666666666663"/>
    <n v="2340"/>
    <n v="483.33333333333343"/>
    <n v="2150"/>
    <n v="17300"/>
    <n v="4260.8873333333377"/>
    <n v="2110.8873333333377"/>
    <x v="1"/>
    <x v="0"/>
    <n v="12"/>
    <x v="0"/>
    <x v="2"/>
    <x v="0"/>
    <n v="24.629406551059756"/>
    <n v="12.201660886319871"/>
  </r>
  <r>
    <d v="2023-12-25T00:00:00"/>
    <n v="5369.7600000000011"/>
    <n v="4340"/>
    <n v="-1029.7600000000011"/>
    <n v="1652.9"/>
    <n v="3050"/>
    <n v="1397.1"/>
    <n v="108.43"/>
    <n v="300"/>
    <n v="191.57"/>
    <n v="633.33333333333337"/>
    <n v="830"/>
    <n v="196.66666666666663"/>
    <n v="2150"/>
    <n v="8520"/>
    <n v="755.57666666666557"/>
    <n v="-1394.4233333333343"/>
    <x v="1"/>
    <x v="0"/>
    <n v="12"/>
    <x v="0"/>
    <x v="3"/>
    <x v="1"/>
    <n v="8.8682707355242432"/>
    <n v="-16.366471048513315"/>
  </r>
  <r>
    <d v="2023-12-26T00:00:00"/>
    <n v="5218.0300000000007"/>
    <n v="3570"/>
    <n v="-1648.0300000000009"/>
    <n v="1561.8"/>
    <n v="2620"/>
    <n v="1058.2"/>
    <n v="208.54999999999995"/>
    <n v="850"/>
    <n v="641.45000000000005"/>
    <n v="755"/>
    <n v="960"/>
    <n v="205"/>
    <n v="2150"/>
    <n v="8000"/>
    <n v="256.61999999999944"/>
    <n v="-1893.3800000000008"/>
    <x v="1"/>
    <x v="0"/>
    <n v="12"/>
    <x v="0"/>
    <x v="4"/>
    <x v="1"/>
    <n v="3.2077499999999932"/>
    <n v="-23.66725000000001"/>
  </r>
  <r>
    <d v="2023-12-27T00:00:00"/>
    <n v="4454.614999999998"/>
    <n v="4480"/>
    <n v="25.385000000002037"/>
    <n v="-134.60000000000008"/>
    <n v="1770"/>
    <n v="1904.6"/>
    <n v="23"/>
    <n v="400"/>
    <n v="377"/>
    <n v="1356.6666666666667"/>
    <n v="1700"/>
    <n v="343.33333333333326"/>
    <n v="2150"/>
    <n v="8350"/>
    <n v="2650.318333333335"/>
    <n v="500.31833333333543"/>
    <x v="1"/>
    <x v="0"/>
    <n v="12"/>
    <x v="0"/>
    <x v="5"/>
    <x v="0"/>
    <n v="31.740339321357304"/>
    <n v="5.9918363273453341"/>
  </r>
  <r>
    <d v="2023-12-28T00:00:00"/>
    <n v="4059.7200000000016"/>
    <n v="2660"/>
    <n v="-1399.7200000000016"/>
    <n v="2232.6999999999998"/>
    <n v="3970"/>
    <n v="1737.3000000000002"/>
    <n v="23"/>
    <n v="400"/>
    <n v="377"/>
    <n v="831.66666666666674"/>
    <n v="1070"/>
    <n v="238.33333333333329"/>
    <n v="2150"/>
    <n v="8100"/>
    <n v="952.91333333333182"/>
    <n v="-1197.0866666666682"/>
    <x v="1"/>
    <x v="0"/>
    <n v="12"/>
    <x v="0"/>
    <x v="6"/>
    <x v="1"/>
    <n v="11.764362139917676"/>
    <n v="-14.778847736625533"/>
  </r>
  <r>
    <d v="2023-12-29T00:00:00"/>
    <n v="7201.4349999999986"/>
    <n v="5290"/>
    <n v="-1911.4349999999984"/>
    <n v="3517.5"/>
    <n v="7100"/>
    <n v="3582.5"/>
    <n v="23"/>
    <n v="400"/>
    <n v="377"/>
    <n v="1031.6666666666663"/>
    <n v="1370"/>
    <n v="338.33333333333348"/>
    <n v="2150"/>
    <n v="14160"/>
    <n v="2386.3983333333349"/>
    <n v="236.3983333333349"/>
    <x v="1"/>
    <x v="0"/>
    <n v="12"/>
    <x v="0"/>
    <x v="0"/>
    <x v="0"/>
    <n v="16.853095574387957"/>
    <n v="1.6694797551789189"/>
  </r>
  <r>
    <d v="2023-12-30T00:00:00"/>
    <n v="6056.630000000001"/>
    <n v="5560"/>
    <n v="-496.63000000000102"/>
    <n v="3637.4499999999994"/>
    <n v="6700"/>
    <n v="3062.5500000000006"/>
    <n v="438.80000000000007"/>
    <n v="250"/>
    <n v="-188.80000000000007"/>
    <n v="585"/>
    <n v="790"/>
    <n v="205"/>
    <n v="2150"/>
    <n v="13300"/>
    <n v="2582.119999999999"/>
    <n v="432.11999999999944"/>
    <x v="1"/>
    <x v="0"/>
    <n v="12"/>
    <x v="0"/>
    <x v="1"/>
    <x v="0"/>
    <n v="19.414436090225557"/>
    <n v="3.2490225563909729"/>
  </r>
  <r>
    <d v="2023-12-31T00:00:00"/>
    <n v="1478.5649999999991"/>
    <n v="9700"/>
    <n v="8221.4350000000013"/>
    <n v="-365.99999999999977"/>
    <n v="2300"/>
    <n v="2666"/>
    <n v="122.74999999999993"/>
    <n v="600"/>
    <n v="477.25000000000006"/>
    <n v="546.66666666666663"/>
    <n v="700"/>
    <n v="153.33333333333337"/>
    <n v="2150"/>
    <n v="13300"/>
    <n v="11518.018333333335"/>
    <n v="9368.0183333333352"/>
    <x v="1"/>
    <x v="0"/>
    <n v="12"/>
    <x v="0"/>
    <x v="2"/>
    <x v="0"/>
    <n v="86.601641604010041"/>
    <n v="70.436228070175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rofitability PivotTab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Profit_Status">
  <location ref="A31:D34" firstHeaderRow="0" firstDataRow="1" firstDataCol="1"/>
  <pivotFields count="25">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4">
        <item m="1" x="2"/>
        <item x="0"/>
        <item x="1"/>
        <item t="default"/>
      </items>
    </pivotField>
    <pivotField showAll="0">
      <items count="13">
        <item x="1"/>
        <item x="2"/>
        <item x="3"/>
        <item x="4"/>
        <item x="5"/>
        <item x="6"/>
        <item x="7"/>
        <item x="8"/>
        <item x="9"/>
        <item x="10"/>
        <item x="11"/>
        <item x="0"/>
        <item t="default"/>
      </items>
    </pivotField>
    <pivotField showAll="0"/>
    <pivotField showAll="0">
      <items count="5">
        <item x="1"/>
        <item x="2"/>
        <item x="3"/>
        <item x="0"/>
        <item t="default"/>
      </items>
    </pivotField>
    <pivotField showAll="0">
      <items count="8">
        <item x="2"/>
        <item x="3"/>
        <item x="4"/>
        <item x="5"/>
        <item x="6"/>
        <item x="0"/>
        <item x="1"/>
        <item t="default"/>
      </items>
    </pivotField>
    <pivotField axis="axisRow" showAll="0">
      <items count="3">
        <item x="1"/>
        <item x="0"/>
        <item t="default"/>
      </items>
    </pivotField>
    <pivotField showAll="0"/>
    <pivotField showAll="0"/>
  </pivotFields>
  <rowFields count="1">
    <field x="22"/>
  </rowFields>
  <rowItems count="3">
    <i>
      <x/>
    </i>
    <i>
      <x v="1"/>
    </i>
    <i t="grand">
      <x/>
    </i>
  </rowItems>
  <colFields count="1">
    <field x="-2"/>
  </colFields>
  <colItems count="3">
    <i>
      <x/>
    </i>
    <i i="1">
      <x v="1"/>
    </i>
    <i i="2">
      <x v="2"/>
    </i>
  </colItems>
  <dataFields count="3">
    <dataField name="Days" fld="0" subtotal="count" baseField="0" baseItem="0"/>
    <dataField name="Sales" fld="14" baseField="0" baseItem="0"/>
    <dataField name="Net Profit" fld="16"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22" count="1" selected="0">
            <x v="0"/>
          </reference>
        </references>
      </pivotArea>
    </chartFormat>
    <chartFormat chart="0" format="4">
      <pivotArea type="data" outline="0" fieldPosition="0">
        <references count="2">
          <reference field="4294967294" count="1" selected="0">
            <x v="0"/>
          </reference>
          <reference field="22" count="1" selected="0">
            <x v="1"/>
          </reference>
        </references>
      </pivotArea>
    </chartFormat>
    <chartFormat chart="0" format="5">
      <pivotArea type="data" outline="0" fieldPosition="0">
        <references count="2">
          <reference field="4294967294" count="1" selected="0">
            <x v="1"/>
          </reference>
          <reference field="22" count="1" selected="0">
            <x v="0"/>
          </reference>
        </references>
      </pivotArea>
    </chartFormat>
    <chartFormat chart="0" format="6">
      <pivotArea type="data" outline="0" fieldPosition="0">
        <references count="2">
          <reference field="4294967294" count="1" selected="0">
            <x v="1"/>
          </reference>
          <reference field="22" count="1" selected="0">
            <x v="1"/>
          </reference>
        </references>
      </pivotArea>
    </chartFormat>
    <chartFormat chart="0" format="7">
      <pivotArea type="data" outline="0" fieldPosition="0">
        <references count="2">
          <reference field="4294967294" count="1" selected="0">
            <x v="2"/>
          </reference>
          <reference field="22" count="1" selected="0">
            <x v="0"/>
          </reference>
        </references>
      </pivotArea>
    </chartFormat>
    <chartFormat chart="0" format="8">
      <pivotArea type="data" outline="0" fieldPosition="0">
        <references count="2">
          <reference field="4294967294" count="1" selected="0">
            <x v="2"/>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Day-of-Week PivotTab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Day_Name">
  <location ref="A21:D29" firstHeaderRow="0" firstDataRow="1" firstDataCol="1"/>
  <pivotFields count="25">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items count="4">
        <item m="1" x="2"/>
        <item x="0"/>
        <item x="1"/>
        <item t="default"/>
      </items>
    </pivotField>
    <pivotField showAll="0">
      <items count="13">
        <item x="1"/>
        <item x="2"/>
        <item x="3"/>
        <item x="4"/>
        <item x="5"/>
        <item x="6"/>
        <item x="7"/>
        <item x="8"/>
        <item x="9"/>
        <item x="10"/>
        <item x="11"/>
        <item x="0"/>
        <item t="default"/>
      </items>
    </pivotField>
    <pivotField showAll="0"/>
    <pivotField showAll="0">
      <items count="5">
        <item x="1"/>
        <item x="2"/>
        <item x="3"/>
        <item x="0"/>
        <item t="default"/>
      </items>
    </pivotField>
    <pivotField axis="axisRow" showAll="0">
      <items count="8">
        <item x="2"/>
        <item x="3"/>
        <item x="4"/>
        <item x="5"/>
        <item x="6"/>
        <item x="0"/>
        <item x="1"/>
        <item t="default"/>
      </items>
    </pivotField>
    <pivotField showAll="0"/>
    <pivotField showAll="0"/>
    <pivotField showAll="0"/>
  </pivotFields>
  <rowFields count="1">
    <field x="21"/>
  </rowFields>
  <rowItems count="8">
    <i>
      <x/>
    </i>
    <i>
      <x v="1"/>
    </i>
    <i>
      <x v="2"/>
    </i>
    <i>
      <x v="3"/>
    </i>
    <i>
      <x v="4"/>
    </i>
    <i>
      <x v="5"/>
    </i>
    <i>
      <x v="6"/>
    </i>
    <i t="grand">
      <x/>
    </i>
  </rowItems>
  <colFields count="1">
    <field x="-2"/>
  </colFields>
  <colItems count="3">
    <i>
      <x/>
    </i>
    <i i="1">
      <x v="1"/>
    </i>
    <i i="2">
      <x v="2"/>
    </i>
  </colItems>
  <dataFields count="3">
    <dataField name="Avg Sales" fld="14" subtotal="average" baseField="0" baseItem="0"/>
    <dataField name="Avg Gross Profit" fld="15" subtotal="average" baseField="0" baseItem="0"/>
    <dataField name="Avg Net Profit" fld="16" subtotal="average"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Monthly Performanc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K19" firstHeaderRow="0" firstDataRow="1" firstDataCol="1"/>
  <pivotFields count="25">
    <pivotField showAll="0"/>
    <pivotField dataField="1" showAll="0"/>
    <pivotField showAll="0"/>
    <pivotField showAll="0"/>
    <pivotField dataField="1" showAll="0"/>
    <pivotField showAll="0"/>
    <pivotField showAll="0"/>
    <pivotField dataField="1" showAll="0"/>
    <pivotField showAll="0"/>
    <pivotField showAll="0"/>
    <pivotField dataField="1" showAll="0"/>
    <pivotField showAll="0"/>
    <pivotField showAll="0"/>
    <pivotField dataField="1" showAll="0"/>
    <pivotField dataField="1" showAll="0"/>
    <pivotField dataField="1" showAll="0"/>
    <pivotField dataField="1" showAll="0"/>
    <pivotField axis="axisRow" showAll="0">
      <items count="4">
        <item m="1" x="2"/>
        <item x="0"/>
        <item x="1"/>
        <item t="default"/>
      </items>
    </pivotField>
    <pivotField axis="axisRow" showAll="0">
      <items count="13">
        <item x="1"/>
        <item x="2"/>
        <item x="3"/>
        <item x="4"/>
        <item x="5"/>
        <item x="6"/>
        <item x="7"/>
        <item x="8"/>
        <item x="9"/>
        <item x="10"/>
        <item x="11"/>
        <item x="0"/>
        <item t="default"/>
      </items>
    </pivotField>
    <pivotField showAll="0"/>
    <pivotField showAll="0">
      <items count="5">
        <item x="1"/>
        <item x="2"/>
        <item x="3"/>
        <item x="0"/>
        <item t="default"/>
      </items>
    </pivotField>
    <pivotField showAll="0">
      <items count="8">
        <item x="2"/>
        <item x="3"/>
        <item x="4"/>
        <item x="5"/>
        <item x="6"/>
        <item x="0"/>
        <item x="1"/>
        <item t="default"/>
      </items>
    </pivotField>
    <pivotField showAll="0"/>
    <pivotField dataField="1" showAll="0"/>
    <pivotField dataField="1" showAll="0"/>
  </pivotFields>
  <rowFields count="2">
    <field x="17"/>
    <field x="18"/>
  </rowFields>
  <rowItems count="16">
    <i>
      <x v="1"/>
    </i>
    <i r="1">
      <x v="11"/>
    </i>
    <i>
      <x v="2"/>
    </i>
    <i r="1">
      <x/>
    </i>
    <i r="1">
      <x v="1"/>
    </i>
    <i r="1">
      <x v="2"/>
    </i>
    <i r="1">
      <x v="3"/>
    </i>
    <i r="1">
      <x v="4"/>
    </i>
    <i r="1">
      <x v="5"/>
    </i>
    <i r="1">
      <x v="6"/>
    </i>
    <i r="1">
      <x v="7"/>
    </i>
    <i r="1">
      <x v="8"/>
    </i>
    <i r="1">
      <x v="9"/>
    </i>
    <i r="1">
      <x v="10"/>
    </i>
    <i r="1">
      <x v="11"/>
    </i>
    <i t="grand">
      <x/>
    </i>
  </rowItems>
  <colFields count="1">
    <field x="-2"/>
  </colFields>
  <colItems count="10">
    <i>
      <x/>
    </i>
    <i i="1">
      <x v="1"/>
    </i>
    <i i="2">
      <x v="2"/>
    </i>
    <i i="3">
      <x v="3"/>
    </i>
    <i i="4">
      <x v="4"/>
    </i>
    <i i="5">
      <x v="5"/>
    </i>
    <i i="6">
      <x v="6"/>
    </i>
    <i i="7">
      <x v="7"/>
    </i>
    <i i="8">
      <x v="8"/>
    </i>
    <i i="9">
      <x v="9"/>
    </i>
  </colItems>
  <dataFields count="10">
    <dataField name="Sales" fld="14" baseField="17" baseItem="0"/>
    <dataField name="Total Fries Cost" fld="1" baseField="17" baseItem="0"/>
    <dataField name="Total Zinger Cost" fld="4" baseField="17" baseItem="0"/>
    <dataField name="Total Loaded Cost" fld="7" baseField="17" baseItem="0"/>
    <dataField name="Total Drinks Cost" fld="10" baseField="17" baseItem="0"/>
    <dataField name="TotalGross Profit" fld="15" baseField="17" baseItem="0"/>
    <dataField name="Total Operational Cost" fld="13" baseField="17" baseItem="0"/>
    <dataField name="Total Net Profit" fld="16" baseField="17" baseItem="0"/>
    <dataField name="Sum of Gross_Margin" fld="23" baseField="0" baseItem="0"/>
    <dataField name="Sum of Net_Margin" fld="24"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 chart="2" format="5" series="1">
      <pivotArea type="data" outline="0" fieldPosition="0">
        <references count="1">
          <reference field="4294967294" count="1" selected="0">
            <x v="5"/>
          </reference>
        </references>
      </pivotArea>
    </chartFormat>
    <chartFormat chart="2" format="6" series="1">
      <pivotArea type="data" outline="0" fieldPosition="0">
        <references count="1">
          <reference field="4294967294" count="1" selected="0">
            <x v="6"/>
          </reference>
        </references>
      </pivotArea>
    </chartFormat>
    <chartFormat chart="2" format="7" series="1">
      <pivotArea type="data" outline="0" fieldPosition="0">
        <references count="1">
          <reference field="4294967294" count="1" selected="0">
            <x v="7"/>
          </reference>
        </references>
      </pivotArea>
    </chartFormat>
    <chartFormat chart="2" format="11" series="1">
      <pivotArea type="data" outline="0" fieldPosition="0">
        <references count="1">
          <reference field="4294967294" count="1" selected="0">
            <x v="8"/>
          </reference>
        </references>
      </pivotArea>
    </chartFormat>
    <chartFormat chart="0" format="11" series="1">
      <pivotArea type="data" outline="0" fieldPosition="0">
        <references count="1">
          <reference field="4294967294" count="1" selected="0">
            <x v="8"/>
          </reference>
        </references>
      </pivotArea>
    </chartFormat>
    <chartFormat chart="2" format="12" series="1">
      <pivotArea type="data" outline="0" fieldPosition="0">
        <references count="1">
          <reference field="4294967294" count="1" selected="0">
            <x v="9"/>
          </reference>
        </references>
      </pivotArea>
    </chartFormat>
    <chartFormat chart="0" format="12" series="1">
      <pivotArea type="data" outline="0" fieldPosition="0">
        <references count="1">
          <reference field="429496729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Monthly KPI PivotTabl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Operating Days">
  <location ref="A36:E52" firstHeaderRow="0" firstDataRow="1" firstDataCol="1"/>
  <pivotFields count="25">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items count="4">
        <item m="1" x="2"/>
        <item x="0"/>
        <item x="1"/>
        <item t="default"/>
      </items>
    </pivotField>
    <pivotField axis="axisRow" showAll="0">
      <items count="13">
        <item x="1"/>
        <item x="2"/>
        <item x="3"/>
        <item x="4"/>
        <item x="5"/>
        <item x="6"/>
        <item x="7"/>
        <item x="8"/>
        <item x="9"/>
        <item x="10"/>
        <item x="11"/>
        <item x="0"/>
        <item t="default"/>
      </items>
    </pivotField>
    <pivotField showAll="0"/>
    <pivotField showAll="0">
      <items count="5">
        <item x="1"/>
        <item x="2"/>
        <item x="3"/>
        <item x="0"/>
        <item t="default"/>
      </items>
    </pivotField>
    <pivotField showAll="0">
      <items count="8">
        <item x="2"/>
        <item x="3"/>
        <item x="4"/>
        <item x="5"/>
        <item x="6"/>
        <item x="0"/>
        <item x="1"/>
        <item t="default"/>
      </items>
    </pivotField>
    <pivotField showAll="0"/>
    <pivotField showAll="0"/>
    <pivotField showAll="0"/>
  </pivotFields>
  <rowFields count="2">
    <field x="17"/>
    <field x="18"/>
  </rowFields>
  <rowItems count="16">
    <i>
      <x v="1"/>
    </i>
    <i r="1">
      <x v="11"/>
    </i>
    <i>
      <x v="2"/>
    </i>
    <i r="1">
      <x/>
    </i>
    <i r="1">
      <x v="1"/>
    </i>
    <i r="1">
      <x v="2"/>
    </i>
    <i r="1">
      <x v="3"/>
    </i>
    <i r="1">
      <x v="4"/>
    </i>
    <i r="1">
      <x v="5"/>
    </i>
    <i r="1">
      <x v="6"/>
    </i>
    <i r="1">
      <x v="7"/>
    </i>
    <i r="1">
      <x v="8"/>
    </i>
    <i r="1">
      <x v="9"/>
    </i>
    <i r="1">
      <x v="10"/>
    </i>
    <i r="1">
      <x v="11"/>
    </i>
    <i t="grand">
      <x/>
    </i>
  </rowItems>
  <colFields count="1">
    <field x="-2"/>
  </colFields>
  <colItems count="4">
    <i>
      <x/>
    </i>
    <i i="1">
      <x v="1"/>
    </i>
    <i i="2">
      <x v="2"/>
    </i>
    <i i="3">
      <x v="3"/>
    </i>
  </colItems>
  <dataFields count="4">
    <dataField name="Date Count" fld="0" subtotal="count" baseField="0" baseItem="0"/>
    <dataField name="Sales" fld="14" baseField="0" baseItem="0"/>
    <dataField name="Gross Profit" fld="15" baseField="0" baseItem="0"/>
    <dataField name="Net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0" applyNumberFormats="0" applyBorderFormats="0" applyFontFormats="1" applyPatternFormats="1" applyAlignmentFormats="0" applyWidthHeightFormats="0">
  <queryTableRefresh preserveSortFilterLayout="0" nextId="25">
    <queryTableFields count="24">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 id="7" name="ExtractedData" tableColumnId="7"/>
      <queryTableField id="8" name="Date" tableColumnId="8"/>
      <queryTableField id="9" name="Fries_Cost" tableColumnId="9"/>
      <queryTableField id="10" name="Fries_Sales" tableColumnId="10"/>
      <queryTableField id="11" name="Fries_Profit" tableColumnId="11"/>
      <queryTableField id="12" name="Zinger_Cost" tableColumnId="12"/>
      <queryTableField id="13" name="Zinger_Sales" tableColumnId="13"/>
      <queryTableField id="14" name="Zinger_Profit" tableColumnId="14"/>
      <queryTableField id="15" name="Loaded_Food_Cost" tableColumnId="15"/>
      <queryTableField id="16" name="Loaded_Food_Sales" tableColumnId="16"/>
      <queryTableField id="17" name="Loaded_Food_Profit" tableColumnId="17"/>
      <queryTableField id="18" name="Drinks_Cost" tableColumnId="18"/>
      <queryTableField id="19" name="Drinks_Sales" tableColumnId="19"/>
      <queryTableField id="20" name="Drinks_Profit" tableColumnId="20"/>
      <queryTableField id="21" name="Daily_Operational_Cost" tableColumnId="21"/>
      <queryTableField id="22" name="Total_Daily_Sales" tableColumnId="22"/>
      <queryTableField id="23" name="Total Gross Profit" tableColumnId="23"/>
      <queryTableField id="24" name="Net_Profit"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7" name="Monthly Performance"/>
    <pivotTable tabId="7" name="Day-of-Week PivotTable"/>
    <pivotTable tabId="7" name="Monthly KPI PivotTable"/>
    <pivotTable tabId="7" name="Profitability PivotTable"/>
  </pivotTables>
  <data>
    <tabular pivotCacheId="1">
      <items count="12">
        <i x="1" s="1"/>
        <i x="2" s="1"/>
        <i x="3" s="1"/>
        <i x="4" s="1"/>
        <i x="5" s="1"/>
        <i x="6" s="1"/>
        <i x="7" s="1"/>
        <i x="8" s="1"/>
        <i x="9" s="1"/>
        <i x="10" s="1"/>
        <i x="1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Quarter" sourceName="Quarter">
  <pivotTables>
    <pivotTable tabId="7" name="Monthly Performance"/>
    <pivotTable tabId="7" name="Day-of-Week PivotTable"/>
    <pivotTable tabId="7" name="Monthly KPI PivotTable"/>
    <pivotTable tabId="7" name="Profitability PivotTable"/>
  </pivotTables>
  <data>
    <tabular pivotCacheId="1">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y_Name" sourceName="Day_Name">
  <pivotTables>
    <pivotTable tabId="7" name="Monthly Performance"/>
    <pivotTable tabId="7" name="Day-of-Week PivotTable"/>
    <pivotTable tabId="7" name="Monthly KPI PivotTable"/>
    <pivotTable tabId="7" name="Profitability PivotTable"/>
  </pivotTables>
  <data>
    <tabular pivotCacheId="1">
      <items count="7">
        <i x="2" s="1"/>
        <i x="3" s="1"/>
        <i x="4" s="1"/>
        <i x="5" s="1"/>
        <i x="6"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Year" sourceName="Year ">
  <pivotTables>
    <pivotTable tabId="7" name="Monthly Performance"/>
    <pivotTable tabId="7" name="Day-of-Week PivotTable"/>
    <pivotTable tabId="7" name="Monthly KPI PivotTable"/>
    <pivotTable tabId="7" name="Profitability PivotTable"/>
  </pivotTables>
  <data>
    <tabular pivotCacheId="1">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cache="Slicer_Month" caption="Month" rowHeight="241300"/>
  <slicer name="Quarter" cache="Slicer_Quarter" caption="Quarter" rowHeight="241300"/>
  <slicer name="Day_Name" cache="Slicer_Day_Name" caption="Day_Name" rowHeight="241300"/>
  <slicer name="Year " cache="Slicer_Year" caption="Year "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raw_data" displayName="raw_data" ref="A1:X382" tableType="queryTable" totalsRowShown="0">
  <autoFilter ref="A1:X382"/>
  <tableColumns count="24">
    <tableColumn id="1" uniqueName="1" name="Name" queryTableFieldId="1" dataDxfId="23"/>
    <tableColumn id="2" uniqueName="2" name="Extension" queryTableFieldId="2" dataDxfId="22"/>
    <tableColumn id="3" uniqueName="3" name="Date accessed" queryTableFieldId="3" dataDxfId="21"/>
    <tableColumn id="4" uniqueName="4" name="Date modified" queryTableFieldId="4" dataDxfId="20"/>
    <tableColumn id="5" uniqueName="5" name="Date created" queryTableFieldId="5" dataDxfId="19"/>
    <tableColumn id="6" uniqueName="6" name="Folder Path" queryTableFieldId="6" dataDxfId="18"/>
    <tableColumn id="7" uniqueName="7" name="ExtractedData" queryTableFieldId="7" dataDxfId="17"/>
    <tableColumn id="8" uniqueName="8" name="Date" queryTableFieldId="8" dataDxfId="16"/>
    <tableColumn id="9" uniqueName="9" name="Fries_Cost" queryTableFieldId="9" dataDxfId="15"/>
    <tableColumn id="10" uniqueName="10" name="Fries_Sales" queryTableFieldId="10" dataDxfId="14"/>
    <tableColumn id="11" uniqueName="11" name="Fries_Profit" queryTableFieldId="11" dataDxfId="13"/>
    <tableColumn id="12" uniqueName="12" name="Zinger_Cost" queryTableFieldId="12" dataDxfId="12"/>
    <tableColumn id="13" uniqueName="13" name="Zinger_Sales" queryTableFieldId="13" dataDxfId="11"/>
    <tableColumn id="14" uniqueName="14" name="Zinger_Profit" queryTableFieldId="14" dataDxfId="10"/>
    <tableColumn id="15" uniqueName="15" name="Loaded_Food_Cost" queryTableFieldId="15" dataDxfId="9"/>
    <tableColumn id="16" uniqueName="16" name="Loaded_Food_Sales" queryTableFieldId="16" dataDxfId="8"/>
    <tableColumn id="17" uniqueName="17" name="Loaded_Food_Profit" queryTableFieldId="17" dataDxfId="7"/>
    <tableColumn id="18" uniqueName="18" name="Drinks_Cost" queryTableFieldId="18" dataDxfId="6"/>
    <tableColumn id="19" uniqueName="19" name="Drinks_Sales" queryTableFieldId="19" dataDxfId="5"/>
    <tableColumn id="20" uniqueName="20" name="Drinks_Profit" queryTableFieldId="20" dataDxfId="4"/>
    <tableColumn id="21" uniqueName="21" name="Daily_Operational_Cost" queryTableFieldId="21" dataDxfId="3"/>
    <tableColumn id="22" uniqueName="22" name="Total_Daily_Sales" queryTableFieldId="22" dataDxfId="2"/>
    <tableColumn id="23" uniqueName="23" name="Total Gross Profit" queryTableFieldId="23" dataDxfId="1"/>
    <tableColumn id="24" uniqueName="24" name="Net_Profit" queryTableFieldId="24" dataDxfId="0"/>
  </tableColumns>
  <tableStyleInfo name="TableStyleMedium7" showFirstColumn="0" showLastColumn="0" showRowStripes="1" showColumnStripes="0"/>
</table>
</file>

<file path=xl/tables/table2.xml><?xml version="1.0" encoding="utf-8"?>
<table xmlns="http://schemas.openxmlformats.org/spreadsheetml/2006/main" id="2" name="tbl_daily" displayName="tbl_daily" ref="A1:Y382" totalsRowShown="0" headerRowDxfId="33">
  <autoFilter ref="A1:Y382"/>
  <tableColumns count="25">
    <tableColumn id="1" name="Date" dataDxfId="32"/>
    <tableColumn id="2" name="Fries_Cost"/>
    <tableColumn id="3" name="Fries_Sales"/>
    <tableColumn id="4" name="Fries_Profit"/>
    <tableColumn id="5" name="Zinger_Cost"/>
    <tableColumn id="6" name="Zinger_Sales"/>
    <tableColumn id="7" name="Zinger_Profit"/>
    <tableColumn id="8" name="Loaded_Food_Cost"/>
    <tableColumn id="9" name="Loaded_Food_Sales"/>
    <tableColumn id="10" name="Loaded_Food_Profit"/>
    <tableColumn id="11" name="Drinks_Cost"/>
    <tableColumn id="12" name="Drinks_Sales"/>
    <tableColumn id="13" name="Drinks_Profit"/>
    <tableColumn id="14" name="Daily_Operational_Cost"/>
    <tableColumn id="15" name="Total_Daily_Sales"/>
    <tableColumn id="16" name="Total Gross Profit"/>
    <tableColumn id="17" name="Net_Profit"/>
    <tableColumn id="18" name="Year " dataDxfId="31">
      <calculatedColumnFormula>YEAR(tbl_daily[[#This Row],[Date]])</calculatedColumnFormula>
    </tableColumn>
    <tableColumn id="19" name="Month" dataDxfId="30">
      <calculatedColumnFormula>TEXT(tbl_daily[[#This Row],[Date]],"mmmm")</calculatedColumnFormula>
    </tableColumn>
    <tableColumn id="20" name=" Month_Number" dataDxfId="29">
      <calculatedColumnFormula>MONTH(tbl_daily[[#This Row],[Date]])</calculatedColumnFormula>
    </tableColumn>
    <tableColumn id="21" name="Quarter" dataDxfId="28">
      <calculatedColumnFormula>"Q"&amp;ROUNDUP(MONTH(tbl_daily[[#This Row],[Date]])/3,0)</calculatedColumnFormula>
    </tableColumn>
    <tableColumn id="22" name="Day_Name" dataDxfId="27">
      <calculatedColumnFormula>TEXT(tbl_daily[[#This Row],[Date]],"dddd")</calculatedColumnFormula>
    </tableColumn>
    <tableColumn id="23" name="Profit_Status" dataDxfId="26">
      <calculatedColumnFormula>IF(Q2&gt;0,"Profitable",IF(Q2&lt;0,"Loss","Break-even"))</calculatedColumnFormula>
    </tableColumn>
    <tableColumn id="24" name="Gross_Margin" dataDxfId="25">
      <calculatedColumnFormula>IFERROR(P2/O2 *100,0)</calculatedColumnFormula>
    </tableColumn>
    <tableColumn id="25" name="Net_Margin" dataDxfId="24">
      <calculatedColumnFormula>IFERROR(Q2/O2 *100,0)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82"/>
  <sheetViews>
    <sheetView tabSelected="1" zoomScale="85" zoomScaleNormal="85" workbookViewId="0">
      <selection activeCell="F23" sqref="F23"/>
    </sheetView>
  </sheetViews>
  <sheetFormatPr defaultRowHeight="15"/>
  <cols>
    <col min="1" max="1" width="18.5703125" bestFit="1" customWidth="1"/>
    <col min="2" max="2" width="16" bestFit="1" customWidth="1"/>
    <col min="3" max="3" width="22.140625" bestFit="1" customWidth="1"/>
    <col min="4" max="4" width="20.7109375" bestFit="1" customWidth="1"/>
    <col min="5" max="5" width="20" bestFit="1" customWidth="1"/>
    <col min="6" max="6" width="70.140625" bestFit="1" customWidth="1"/>
    <col min="7" max="7" width="21.42578125" bestFit="1" customWidth="1"/>
    <col min="8" max="8" width="10.28515625" style="3" bestFit="1" customWidth="1"/>
    <col min="9" max="9" width="17.140625" bestFit="1" customWidth="1"/>
    <col min="10" max="10" width="18.28515625" bestFit="1" customWidth="1"/>
    <col min="11" max="11" width="18.140625" bestFit="1" customWidth="1"/>
    <col min="12" max="12" width="18.7109375" bestFit="1" customWidth="1"/>
    <col min="13" max="13" width="20.140625" bestFit="1" customWidth="1"/>
    <col min="14" max="14" width="20" bestFit="1" customWidth="1"/>
    <col min="15" max="15" width="27.7109375" bestFit="1" customWidth="1"/>
    <col min="16" max="16" width="28.85546875" bestFit="1" customWidth="1"/>
    <col min="17" max="17" width="28.7109375" bestFit="1" customWidth="1"/>
    <col min="18" max="18" width="18.5703125" bestFit="1" customWidth="1"/>
    <col min="19" max="19" width="20" bestFit="1" customWidth="1"/>
    <col min="20" max="20" width="19.7109375" customWidth="1"/>
    <col min="21" max="21" width="32.42578125" bestFit="1" customWidth="1"/>
    <col min="22" max="22" width="25.85546875" bestFit="1" customWidth="1"/>
    <col min="23" max="23" width="25" bestFit="1" customWidth="1"/>
    <col min="24" max="24" width="16.42578125" bestFit="1" customWidth="1"/>
    <col min="25" max="27" width="11.140625" customWidth="1"/>
    <col min="28" max="28" width="19.140625" bestFit="1" customWidth="1"/>
    <col min="29" max="30" width="11.140625" customWidth="1"/>
    <col min="31" max="31" width="11.140625" bestFit="1" customWidth="1"/>
    <col min="32" max="33" width="11.140625" customWidth="1"/>
    <col min="34" max="47" width="12.140625" customWidth="1"/>
    <col min="48" max="50" width="11.140625" bestFit="1" customWidth="1"/>
  </cols>
  <sheetData>
    <row r="1" spans="1:50">
      <c r="A1" s="1" t="s">
        <v>0</v>
      </c>
      <c r="B1" s="1" t="s">
        <v>1</v>
      </c>
      <c r="C1" s="1" t="s">
        <v>2</v>
      </c>
      <c r="D1" s="1" t="s">
        <v>3</v>
      </c>
      <c r="E1" s="1" t="s">
        <v>4</v>
      </c>
      <c r="F1" s="1" t="s">
        <v>5</v>
      </c>
      <c r="G1" s="1" t="s">
        <v>6</v>
      </c>
      <c r="H1" s="3"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406</v>
      </c>
      <c r="X1" s="1" t="s">
        <v>22</v>
      </c>
      <c r="Y1" s="1"/>
      <c r="Z1" s="1"/>
      <c r="AA1" s="1"/>
      <c r="AB1" s="1" t="s">
        <v>467</v>
      </c>
      <c r="AC1" s="1"/>
      <c r="AD1" s="1"/>
      <c r="AE1" s="1"/>
      <c r="AF1" s="1"/>
      <c r="AG1" s="1"/>
      <c r="AH1" s="1"/>
      <c r="AI1" s="1"/>
      <c r="AJ1" s="1"/>
      <c r="AK1" s="1"/>
      <c r="AL1" s="1"/>
      <c r="AM1" s="1"/>
      <c r="AN1" s="1"/>
      <c r="AO1" s="1"/>
      <c r="AP1" s="1"/>
      <c r="AQ1" s="1"/>
      <c r="AR1" s="1"/>
      <c r="AS1" s="1"/>
      <c r="AT1" s="1"/>
      <c r="AU1" s="1"/>
      <c r="AV1" s="1"/>
      <c r="AW1" s="1"/>
      <c r="AX1" s="1"/>
    </row>
    <row r="2" spans="1:50">
      <c r="A2" s="1" t="s">
        <v>33</v>
      </c>
      <c r="B2" s="1" t="s">
        <v>24</v>
      </c>
      <c r="C2" s="2">
        <v>46258.444122847221</v>
      </c>
      <c r="D2" s="2">
        <v>44898.052238020835</v>
      </c>
      <c r="E2" s="2">
        <v>46258.385562384261</v>
      </c>
      <c r="F2" s="1" t="s">
        <v>594</v>
      </c>
      <c r="G2" s="1" t="s">
        <v>25</v>
      </c>
      <c r="H2" s="3">
        <v>44897</v>
      </c>
      <c r="I2" s="1">
        <v>7395.965000000002</v>
      </c>
      <c r="J2" s="1">
        <v>9730</v>
      </c>
      <c r="K2" s="1">
        <v>2334.0349999999989</v>
      </c>
      <c r="L2" s="1">
        <v>2614.2499999999995</v>
      </c>
      <c r="M2" s="1">
        <v>4200</v>
      </c>
      <c r="N2" s="1">
        <v>1585.7500000000005</v>
      </c>
      <c r="O2" s="1">
        <v>641.49</v>
      </c>
      <c r="P2" s="1">
        <v>2330</v>
      </c>
      <c r="Q2" s="1">
        <v>1688.51</v>
      </c>
      <c r="R2" s="1">
        <v>771.66666666666652</v>
      </c>
      <c r="S2" s="1">
        <v>990</v>
      </c>
      <c r="T2" s="1">
        <v>218.33333333333337</v>
      </c>
      <c r="U2" s="1">
        <v>2100</v>
      </c>
      <c r="V2" s="1">
        <v>17250</v>
      </c>
      <c r="W2" s="1">
        <v>5826.6283333333331</v>
      </c>
      <c r="X2" s="1">
        <v>3726.6283333333326</v>
      </c>
      <c r="Y2" s="1"/>
      <c r="Z2" s="2"/>
      <c r="AA2" s="2"/>
      <c r="AB2" s="2" t="str">
        <f>IF(ABS(N2-(M2-L2))&lt;0.01,"PASS","CHECK")</f>
        <v>PASS</v>
      </c>
      <c r="AC2" s="1"/>
      <c r="AD2" s="1"/>
      <c r="AE2" s="1"/>
      <c r="AF2" s="1"/>
      <c r="AG2" s="1"/>
      <c r="AH2" s="1"/>
      <c r="AI2" s="1"/>
      <c r="AJ2" s="1"/>
      <c r="AK2" s="1"/>
      <c r="AL2" s="1"/>
      <c r="AM2" s="1"/>
      <c r="AN2" s="1"/>
      <c r="AO2" s="1"/>
      <c r="AP2" s="1"/>
      <c r="AQ2" s="1"/>
      <c r="AR2" s="1"/>
      <c r="AS2" s="1"/>
      <c r="AT2" s="1"/>
      <c r="AU2" s="1"/>
      <c r="AV2" s="1"/>
      <c r="AW2" s="1"/>
      <c r="AX2" s="1"/>
    </row>
    <row r="3" spans="1:50">
      <c r="A3" s="1" t="s">
        <v>34</v>
      </c>
      <c r="B3" s="1" t="s">
        <v>24</v>
      </c>
      <c r="C3" s="2">
        <v>46258.444124629626</v>
      </c>
      <c r="D3" s="2">
        <v>44899.017937708333</v>
      </c>
      <c r="E3" s="2">
        <v>46258.385562488424</v>
      </c>
      <c r="F3" s="1" t="s">
        <v>594</v>
      </c>
      <c r="G3" s="1" t="s">
        <v>25</v>
      </c>
      <c r="H3" s="3">
        <v>44898</v>
      </c>
      <c r="I3" s="1">
        <v>9047.4</v>
      </c>
      <c r="J3" s="1">
        <v>11510</v>
      </c>
      <c r="K3" s="1">
        <v>2462.6000000000004</v>
      </c>
      <c r="L3" s="1">
        <v>1167.95</v>
      </c>
      <c r="M3" s="1">
        <v>2100</v>
      </c>
      <c r="N3" s="1">
        <v>932.05</v>
      </c>
      <c r="O3" s="1">
        <v>305</v>
      </c>
      <c r="P3" s="1">
        <v>1350</v>
      </c>
      <c r="Q3" s="1">
        <v>1045</v>
      </c>
      <c r="R3" s="1">
        <v>599.16666666666663</v>
      </c>
      <c r="S3" s="1">
        <v>790</v>
      </c>
      <c r="T3" s="1">
        <v>190.83333333333337</v>
      </c>
      <c r="U3" s="1">
        <v>2100</v>
      </c>
      <c r="V3" s="1">
        <v>15750</v>
      </c>
      <c r="W3" s="1">
        <v>4630.4833333333336</v>
      </c>
      <c r="X3" s="1">
        <v>2530.4833333333336</v>
      </c>
      <c r="AB3" s="2" t="str">
        <f t="shared" ref="AB3:AB66" si="0">IF(ABS(N3-(M3-L3))&lt;0.01,"PASS","CHECK")</f>
        <v>PASS</v>
      </c>
      <c r="AV3" s="1"/>
      <c r="AW3" s="1"/>
      <c r="AX3" s="1"/>
    </row>
    <row r="4" spans="1:50">
      <c r="A4" s="1" t="s">
        <v>35</v>
      </c>
      <c r="B4" s="1" t="s">
        <v>24</v>
      </c>
      <c r="C4" s="2">
        <v>46258.444125729169</v>
      </c>
      <c r="D4" s="2">
        <v>44900.011666388891</v>
      </c>
      <c r="E4" s="2">
        <v>46258.385562824071</v>
      </c>
      <c r="F4" s="1" t="s">
        <v>594</v>
      </c>
      <c r="G4" s="1" t="s">
        <v>25</v>
      </c>
      <c r="H4" s="3">
        <v>44899</v>
      </c>
      <c r="I4" s="1">
        <v>6657.0600000000013</v>
      </c>
      <c r="J4" s="1">
        <v>7390</v>
      </c>
      <c r="K4" s="1">
        <v>732.93999999999869</v>
      </c>
      <c r="L4" s="1">
        <v>1560.9</v>
      </c>
      <c r="M4" s="1">
        <v>2310</v>
      </c>
      <c r="N4" s="1">
        <v>749.10000000000014</v>
      </c>
      <c r="O4" s="1">
        <v>813</v>
      </c>
      <c r="P4" s="1">
        <v>1700</v>
      </c>
      <c r="Q4" s="1">
        <v>887</v>
      </c>
      <c r="R4" s="1">
        <v>740</v>
      </c>
      <c r="S4" s="1">
        <v>1000</v>
      </c>
      <c r="T4" s="1">
        <v>260</v>
      </c>
      <c r="U4" s="1">
        <v>2100</v>
      </c>
      <c r="V4" s="1">
        <v>12400</v>
      </c>
      <c r="W4" s="1">
        <v>2629.0399999999991</v>
      </c>
      <c r="X4" s="1">
        <v>529.03999999999905</v>
      </c>
      <c r="AB4" s="2" t="str">
        <f t="shared" si="0"/>
        <v>PASS</v>
      </c>
      <c r="AV4" s="1"/>
      <c r="AW4" s="1"/>
      <c r="AX4" s="1"/>
    </row>
    <row r="5" spans="1:50">
      <c r="A5" s="1" t="s">
        <v>36</v>
      </c>
      <c r="B5" s="1" t="s">
        <v>24</v>
      </c>
      <c r="C5" s="2">
        <v>46258.444126747687</v>
      </c>
      <c r="D5" s="2">
        <v>44901.01942222222</v>
      </c>
      <c r="E5" s="2">
        <v>46258.385562962962</v>
      </c>
      <c r="F5" s="1" t="s">
        <v>594</v>
      </c>
      <c r="G5" s="1" t="s">
        <v>25</v>
      </c>
      <c r="H5" s="3">
        <v>44900</v>
      </c>
      <c r="I5" s="1">
        <v>6454.0999999999976</v>
      </c>
      <c r="J5" s="1">
        <v>9500</v>
      </c>
      <c r="K5" s="1">
        <v>3045.9000000000024</v>
      </c>
      <c r="L5" s="1">
        <v>2245.3000000000002</v>
      </c>
      <c r="M5" s="1">
        <v>4200</v>
      </c>
      <c r="N5" s="1">
        <v>1954.7</v>
      </c>
      <c r="O5" s="1">
        <v>333</v>
      </c>
      <c r="P5" s="1">
        <v>670</v>
      </c>
      <c r="Q5" s="1">
        <v>337</v>
      </c>
      <c r="R5" s="1">
        <v>763.33333333333348</v>
      </c>
      <c r="S5" s="1">
        <v>1010</v>
      </c>
      <c r="T5" s="1">
        <v>246.66666666666663</v>
      </c>
      <c r="U5" s="1">
        <v>2100</v>
      </c>
      <c r="V5" s="1">
        <v>15380</v>
      </c>
      <c r="W5" s="1">
        <v>5584.2666666666692</v>
      </c>
      <c r="X5" s="1">
        <v>3484.2666666666692</v>
      </c>
      <c r="AB5" s="2" t="str">
        <f t="shared" si="0"/>
        <v>PASS</v>
      </c>
      <c r="AV5" s="1"/>
      <c r="AW5" s="1"/>
      <c r="AX5" s="1"/>
    </row>
    <row r="6" spans="1:50">
      <c r="A6" s="1" t="s">
        <v>37</v>
      </c>
      <c r="B6" s="1" t="s">
        <v>24</v>
      </c>
      <c r="C6" s="2">
        <v>46258.444127847222</v>
      </c>
      <c r="D6" s="2">
        <v>44902.009006168984</v>
      </c>
      <c r="E6" s="2">
        <v>46258.385563124997</v>
      </c>
      <c r="F6" s="1" t="s">
        <v>594</v>
      </c>
      <c r="G6" s="1" t="s">
        <v>25</v>
      </c>
      <c r="H6" s="3">
        <v>44901</v>
      </c>
      <c r="I6" s="1">
        <v>6140.6950000000006</v>
      </c>
      <c r="J6" s="1">
        <v>7010</v>
      </c>
      <c r="K6" s="1">
        <v>869.30499999999938</v>
      </c>
      <c r="L6" s="1">
        <v>1538.35</v>
      </c>
      <c r="M6" s="1">
        <v>3070</v>
      </c>
      <c r="N6" s="1">
        <v>1531.65</v>
      </c>
      <c r="O6" s="1">
        <v>313.45</v>
      </c>
      <c r="P6" s="1">
        <v>600</v>
      </c>
      <c r="Q6" s="1">
        <v>286.55</v>
      </c>
      <c r="R6" s="1">
        <v>760</v>
      </c>
      <c r="S6" s="1">
        <v>970</v>
      </c>
      <c r="T6" s="1">
        <v>210</v>
      </c>
      <c r="U6" s="1">
        <v>2100</v>
      </c>
      <c r="V6" s="1">
        <v>11650</v>
      </c>
      <c r="W6" s="1">
        <v>2897.5049999999997</v>
      </c>
      <c r="X6" s="1">
        <v>797.50499999999965</v>
      </c>
      <c r="AB6" s="2" t="str">
        <f t="shared" si="0"/>
        <v>PASS</v>
      </c>
      <c r="AV6" s="1"/>
      <c r="AW6" s="1"/>
      <c r="AX6" s="1"/>
    </row>
    <row r="7" spans="1:50">
      <c r="A7" s="1" t="s">
        <v>38</v>
      </c>
      <c r="B7" s="1" t="s">
        <v>24</v>
      </c>
      <c r="C7" s="2">
        <v>46258.44412915509</v>
      </c>
      <c r="D7" s="2">
        <v>44903.016121145833</v>
      </c>
      <c r="E7" s="2">
        <v>46258.385563344906</v>
      </c>
      <c r="F7" s="1" t="s">
        <v>594</v>
      </c>
      <c r="G7" s="1" t="s">
        <v>25</v>
      </c>
      <c r="H7" s="3">
        <v>44902</v>
      </c>
      <c r="I7" s="1">
        <v>6554.1150000000007</v>
      </c>
      <c r="J7" s="1">
        <v>8100</v>
      </c>
      <c r="K7" s="1">
        <v>1545.8849999999993</v>
      </c>
      <c r="L7" s="1">
        <v>1836.35</v>
      </c>
      <c r="M7" s="1">
        <v>5040</v>
      </c>
      <c r="N7" s="1">
        <v>3203.65</v>
      </c>
      <c r="O7" s="1">
        <v>198.81</v>
      </c>
      <c r="P7" s="1">
        <v>300</v>
      </c>
      <c r="Q7" s="1">
        <v>101.19</v>
      </c>
      <c r="R7" s="1">
        <v>980.83333333333326</v>
      </c>
      <c r="S7" s="1">
        <v>1290</v>
      </c>
      <c r="T7" s="1">
        <v>309.16666666666674</v>
      </c>
      <c r="U7" s="1">
        <v>2100</v>
      </c>
      <c r="V7" s="1">
        <v>14730</v>
      </c>
      <c r="W7" s="1">
        <v>5159.8916666666664</v>
      </c>
      <c r="X7" s="1">
        <v>3059.8916666666664</v>
      </c>
      <c r="AB7" s="2" t="str">
        <f t="shared" si="0"/>
        <v>PASS</v>
      </c>
      <c r="AV7" s="1"/>
      <c r="AW7" s="1"/>
      <c r="AX7" s="1"/>
    </row>
    <row r="8" spans="1:50">
      <c r="A8" s="1" t="s">
        <v>39</v>
      </c>
      <c r="B8" s="1" t="s">
        <v>24</v>
      </c>
      <c r="C8" s="2">
        <v>46258.444130219905</v>
      </c>
      <c r="D8" s="2">
        <v>44904.107607569444</v>
      </c>
      <c r="E8" s="2">
        <v>46258.385563483796</v>
      </c>
      <c r="F8" s="1" t="s">
        <v>594</v>
      </c>
      <c r="G8" s="1" t="s">
        <v>25</v>
      </c>
      <c r="H8" s="3">
        <v>44903</v>
      </c>
      <c r="I8" s="1">
        <v>5881.0349999999999</v>
      </c>
      <c r="J8" s="1">
        <v>6660</v>
      </c>
      <c r="K8" s="1">
        <v>778.96500000000015</v>
      </c>
      <c r="L8" s="1">
        <v>3654.8</v>
      </c>
      <c r="M8" s="1">
        <v>7140</v>
      </c>
      <c r="N8" s="1">
        <v>3485.2</v>
      </c>
      <c r="O8" s="1">
        <v>461.65999999999997</v>
      </c>
      <c r="P8" s="1">
        <v>1330</v>
      </c>
      <c r="Q8" s="1">
        <v>868.34</v>
      </c>
      <c r="R8" s="1">
        <v>749.99999999999989</v>
      </c>
      <c r="S8" s="1">
        <v>980</v>
      </c>
      <c r="T8" s="1">
        <v>230.00000000000011</v>
      </c>
      <c r="U8" s="1">
        <v>2100</v>
      </c>
      <c r="V8" s="1">
        <v>16110</v>
      </c>
      <c r="W8" s="1">
        <v>5362.5050000000001</v>
      </c>
      <c r="X8" s="1">
        <v>3262.5050000000001</v>
      </c>
      <c r="AB8" s="2" t="str">
        <f t="shared" si="0"/>
        <v>PASS</v>
      </c>
      <c r="AV8" s="1"/>
      <c r="AW8" s="1"/>
      <c r="AX8" s="1"/>
    </row>
    <row r="9" spans="1:50">
      <c r="A9" s="1" t="s">
        <v>40</v>
      </c>
      <c r="B9" s="1" t="s">
        <v>24</v>
      </c>
      <c r="C9" s="2">
        <v>46258.444131296295</v>
      </c>
      <c r="D9" s="2">
        <v>44905.033154212964</v>
      </c>
      <c r="E9" s="2">
        <v>46258.385563888885</v>
      </c>
      <c r="F9" s="1" t="s">
        <v>594</v>
      </c>
      <c r="G9" s="1" t="s">
        <v>25</v>
      </c>
      <c r="H9" s="3">
        <v>44904</v>
      </c>
      <c r="I9" s="1">
        <v>5413.1149999999998</v>
      </c>
      <c r="J9" s="1">
        <v>6650</v>
      </c>
      <c r="K9" s="1">
        <v>1236.8850000000002</v>
      </c>
      <c r="L9" s="1">
        <v>1268.7999999999995</v>
      </c>
      <c r="M9" s="1">
        <v>2310</v>
      </c>
      <c r="N9" s="1">
        <v>1041.2000000000005</v>
      </c>
      <c r="O9" s="1">
        <v>178</v>
      </c>
      <c r="P9" s="1">
        <v>120</v>
      </c>
      <c r="Q9" s="1">
        <v>-58</v>
      </c>
      <c r="R9" s="1">
        <v>620.83333333333326</v>
      </c>
      <c r="S9" s="1">
        <v>830</v>
      </c>
      <c r="T9" s="1">
        <v>209.16666666666671</v>
      </c>
      <c r="U9" s="1">
        <v>1700</v>
      </c>
      <c r="V9" s="1">
        <v>9910</v>
      </c>
      <c r="W9" s="1">
        <v>2429.251666666667</v>
      </c>
      <c r="X9" s="1">
        <v>729.25166666666701</v>
      </c>
      <c r="AB9" s="2" t="str">
        <f t="shared" si="0"/>
        <v>PASS</v>
      </c>
      <c r="AV9" s="1"/>
      <c r="AW9" s="1"/>
      <c r="AX9" s="1"/>
    </row>
    <row r="10" spans="1:50">
      <c r="A10" s="1" t="s">
        <v>41</v>
      </c>
      <c r="B10" s="1" t="s">
        <v>24</v>
      </c>
      <c r="C10" s="2">
        <v>46258.444132291668</v>
      </c>
      <c r="D10" s="2">
        <v>46256.277621203706</v>
      </c>
      <c r="E10" s="2">
        <v>46258.385564085649</v>
      </c>
      <c r="F10" s="1" t="s">
        <v>594</v>
      </c>
      <c r="G10" s="1" t="s">
        <v>25</v>
      </c>
      <c r="H10" s="3">
        <v>44905</v>
      </c>
      <c r="I10" s="1">
        <v>9176.7200000000012</v>
      </c>
      <c r="J10" s="1">
        <v>12000</v>
      </c>
      <c r="K10" s="1">
        <v>2823.2799999999988</v>
      </c>
      <c r="L10" s="1">
        <v>3939.7500000000009</v>
      </c>
      <c r="M10" s="1">
        <v>7560</v>
      </c>
      <c r="N10" s="1">
        <v>3620.2499999999991</v>
      </c>
      <c r="O10" s="1">
        <v>309</v>
      </c>
      <c r="P10" s="1">
        <v>2010</v>
      </c>
      <c r="Q10" s="1">
        <v>1701</v>
      </c>
      <c r="R10" s="1">
        <v>1194.1666666666667</v>
      </c>
      <c r="S10" s="1">
        <v>1490</v>
      </c>
      <c r="T10" s="1">
        <v>295.83333333333326</v>
      </c>
      <c r="U10" s="1">
        <v>1700</v>
      </c>
      <c r="V10" s="1">
        <v>23060</v>
      </c>
      <c r="W10" s="1">
        <v>8440.3633333333328</v>
      </c>
      <c r="X10" s="1">
        <v>6740.3633333333328</v>
      </c>
      <c r="AB10" s="2" t="str">
        <f t="shared" si="0"/>
        <v>PASS</v>
      </c>
      <c r="AV10" s="1"/>
      <c r="AW10" s="1"/>
      <c r="AX10" s="1"/>
    </row>
    <row r="11" spans="1:50">
      <c r="A11" s="1" t="s">
        <v>42</v>
      </c>
      <c r="B11" s="1" t="s">
        <v>24</v>
      </c>
      <c r="C11" s="2">
        <v>46258.444133414348</v>
      </c>
      <c r="D11" s="2">
        <v>44907.022392766201</v>
      </c>
      <c r="E11" s="2">
        <v>46258.385564282406</v>
      </c>
      <c r="F11" s="1" t="s">
        <v>594</v>
      </c>
      <c r="G11" s="1" t="s">
        <v>25</v>
      </c>
      <c r="H11" s="3">
        <v>44906</v>
      </c>
      <c r="I11" s="1">
        <v>8557.08</v>
      </c>
      <c r="J11" s="1">
        <v>9350</v>
      </c>
      <c r="K11" s="1">
        <v>792.92</v>
      </c>
      <c r="L11" s="1">
        <v>2370.7000000000003</v>
      </c>
      <c r="M11" s="1">
        <v>4200</v>
      </c>
      <c r="N11" s="1">
        <v>1829.2999999999995</v>
      </c>
      <c r="O11" s="1">
        <v>354</v>
      </c>
      <c r="P11" s="1">
        <v>1640</v>
      </c>
      <c r="Q11" s="1">
        <v>1286</v>
      </c>
      <c r="R11" s="1">
        <v>678.33333333333337</v>
      </c>
      <c r="S11" s="1">
        <v>910</v>
      </c>
      <c r="T11" s="1">
        <v>231.66666666666663</v>
      </c>
      <c r="U11" s="1">
        <v>1700</v>
      </c>
      <c r="V11" s="1">
        <v>16100</v>
      </c>
      <c r="W11" s="1">
        <v>4139.8866666666663</v>
      </c>
      <c r="X11" s="1">
        <v>2439.8866666666663</v>
      </c>
      <c r="AB11" s="2" t="str">
        <f t="shared" si="0"/>
        <v>PASS</v>
      </c>
      <c r="AV11" s="1"/>
      <c r="AW11" s="1"/>
      <c r="AX11" s="1"/>
    </row>
    <row r="12" spans="1:50">
      <c r="A12" s="1" t="s">
        <v>43</v>
      </c>
      <c r="B12" s="1" t="s">
        <v>24</v>
      </c>
      <c r="C12" s="2">
        <v>46258.444134699072</v>
      </c>
      <c r="D12" s="2">
        <v>44908.018767453701</v>
      </c>
      <c r="E12" s="2">
        <v>46258.385564432872</v>
      </c>
      <c r="F12" s="1" t="s">
        <v>594</v>
      </c>
      <c r="G12" s="1" t="s">
        <v>25</v>
      </c>
      <c r="H12" s="3">
        <v>44907</v>
      </c>
      <c r="I12" s="1">
        <v>8388.9400000000023</v>
      </c>
      <c r="J12" s="1">
        <v>10910</v>
      </c>
      <c r="K12" s="1">
        <v>2521.0599999999977</v>
      </c>
      <c r="L12" s="1">
        <v>2348.5</v>
      </c>
      <c r="M12" s="1">
        <v>3780</v>
      </c>
      <c r="N12" s="1">
        <v>1431.5</v>
      </c>
      <c r="O12" s="1">
        <v>339.15000000000003</v>
      </c>
      <c r="P12" s="1">
        <v>1460</v>
      </c>
      <c r="Q12" s="1">
        <v>1120.8499999999999</v>
      </c>
      <c r="R12" s="1">
        <v>368.33333333333326</v>
      </c>
      <c r="S12" s="1">
        <v>400</v>
      </c>
      <c r="T12" s="1">
        <v>31.666666666666689</v>
      </c>
      <c r="U12" s="1">
        <v>1700</v>
      </c>
      <c r="V12" s="1">
        <v>16550</v>
      </c>
      <c r="W12" s="1">
        <v>5105.076666666665</v>
      </c>
      <c r="X12" s="1">
        <v>3405.076666666665</v>
      </c>
      <c r="AB12" s="2" t="str">
        <f t="shared" si="0"/>
        <v>PASS</v>
      </c>
      <c r="AV12" s="1"/>
      <c r="AW12" s="1"/>
      <c r="AX12" s="1"/>
    </row>
    <row r="13" spans="1:50">
      <c r="A13" s="1" t="s">
        <v>44</v>
      </c>
      <c r="B13" s="1" t="s">
        <v>24</v>
      </c>
      <c r="C13" s="2">
        <v>46258.44413570602</v>
      </c>
      <c r="D13" s="2">
        <v>46256.362216226851</v>
      </c>
      <c r="E13" s="2">
        <v>46258.385564502314</v>
      </c>
      <c r="F13" s="1" t="s">
        <v>594</v>
      </c>
      <c r="G13" s="1" t="s">
        <v>25</v>
      </c>
      <c r="H13" s="3">
        <v>44908</v>
      </c>
      <c r="I13" s="1">
        <v>7390.19</v>
      </c>
      <c r="J13" s="1">
        <v>9850</v>
      </c>
      <c r="K13" s="1">
        <v>2459.8100000000004</v>
      </c>
      <c r="L13" s="1">
        <v>961.94999999999982</v>
      </c>
      <c r="M13" s="1">
        <v>2100</v>
      </c>
      <c r="N13" s="1">
        <v>1138.0500000000002</v>
      </c>
      <c r="O13" s="1">
        <v>90</v>
      </c>
      <c r="P13" s="1">
        <v>750</v>
      </c>
      <c r="Q13" s="1">
        <v>660</v>
      </c>
      <c r="R13" s="1">
        <v>595</v>
      </c>
      <c r="S13" s="1">
        <v>730</v>
      </c>
      <c r="T13" s="1">
        <v>135</v>
      </c>
      <c r="U13" s="1">
        <v>2100</v>
      </c>
      <c r="V13" s="1">
        <v>13430</v>
      </c>
      <c r="W13" s="1">
        <v>4392.8600000000006</v>
      </c>
      <c r="X13" s="1">
        <v>2292.8600000000006</v>
      </c>
      <c r="AB13" s="2" t="str">
        <f t="shared" si="0"/>
        <v>PASS</v>
      </c>
      <c r="AV13" s="1"/>
      <c r="AW13" s="1"/>
      <c r="AX13" s="1"/>
    </row>
    <row r="14" spans="1:50">
      <c r="A14" s="1" t="s">
        <v>45</v>
      </c>
      <c r="B14" s="1" t="s">
        <v>24</v>
      </c>
      <c r="C14" s="2">
        <v>46258.444136851853</v>
      </c>
      <c r="D14" s="2">
        <v>46256.362660844905</v>
      </c>
      <c r="E14" s="2">
        <v>46258.385564837961</v>
      </c>
      <c r="F14" s="1" t="s">
        <v>594</v>
      </c>
      <c r="G14" s="1" t="s">
        <v>25</v>
      </c>
      <c r="H14" s="3">
        <v>44909</v>
      </c>
      <c r="I14" s="1">
        <v>7461.23</v>
      </c>
      <c r="J14" s="1">
        <v>8730</v>
      </c>
      <c r="K14" s="1">
        <v>1268.7700000000004</v>
      </c>
      <c r="L14" s="1">
        <v>2836.8000000000006</v>
      </c>
      <c r="M14" s="1">
        <v>5460</v>
      </c>
      <c r="N14" s="1">
        <v>2623.1999999999994</v>
      </c>
      <c r="O14" s="1">
        <v>258</v>
      </c>
      <c r="P14" s="1">
        <v>360</v>
      </c>
      <c r="Q14" s="1">
        <v>102</v>
      </c>
      <c r="R14" s="1">
        <v>481.66666666666674</v>
      </c>
      <c r="S14" s="1">
        <v>700</v>
      </c>
      <c r="T14" s="1">
        <v>218.33333333333331</v>
      </c>
      <c r="U14" s="1">
        <v>2100</v>
      </c>
      <c r="V14" s="1">
        <v>15250</v>
      </c>
      <c r="W14" s="1">
        <v>4212.3033333333333</v>
      </c>
      <c r="X14" s="1">
        <v>2112.3033333333333</v>
      </c>
      <c r="AB14" s="2" t="str">
        <f t="shared" si="0"/>
        <v>PASS</v>
      </c>
      <c r="AV14" s="1"/>
      <c r="AW14" s="1"/>
      <c r="AX14" s="1"/>
    </row>
    <row r="15" spans="1:50">
      <c r="A15" s="1" t="s">
        <v>46</v>
      </c>
      <c r="B15" s="1" t="s">
        <v>24</v>
      </c>
      <c r="C15" s="2">
        <v>46258.444137824074</v>
      </c>
      <c r="D15" s="2">
        <v>44911.01487324074</v>
      </c>
      <c r="E15" s="2">
        <v>46258.385565034725</v>
      </c>
      <c r="F15" s="1" t="s">
        <v>594</v>
      </c>
      <c r="G15" s="1" t="s">
        <v>25</v>
      </c>
      <c r="H15" s="3">
        <v>44910</v>
      </c>
      <c r="I15" s="1">
        <v>6902.3849999999993</v>
      </c>
      <c r="J15" s="1">
        <v>6590</v>
      </c>
      <c r="K15" s="1">
        <v>-312.38499999999931</v>
      </c>
      <c r="L15" s="1">
        <v>1258.4000000000001</v>
      </c>
      <c r="M15" s="1">
        <v>1890</v>
      </c>
      <c r="N15" s="1">
        <v>631.59999999999991</v>
      </c>
      <c r="O15" s="1">
        <v>539</v>
      </c>
      <c r="P15" s="1">
        <v>1270</v>
      </c>
      <c r="Q15" s="1">
        <v>731</v>
      </c>
      <c r="R15" s="1">
        <v>190.83333333333331</v>
      </c>
      <c r="S15" s="1">
        <v>250</v>
      </c>
      <c r="T15" s="1">
        <v>59.166666666666686</v>
      </c>
      <c r="U15" s="1">
        <v>2100</v>
      </c>
      <c r="V15" s="1">
        <v>10000</v>
      </c>
      <c r="W15" s="1">
        <v>1109.3816666666671</v>
      </c>
      <c r="X15" s="1">
        <v>-990.61833333333266</v>
      </c>
      <c r="AB15" s="2" t="str">
        <f t="shared" si="0"/>
        <v>PASS</v>
      </c>
      <c r="AV15" s="1"/>
      <c r="AW15" s="1"/>
      <c r="AX15" s="1"/>
    </row>
    <row r="16" spans="1:50">
      <c r="A16" s="1" t="s">
        <v>47</v>
      </c>
      <c r="B16" s="1" t="s">
        <v>24</v>
      </c>
      <c r="C16" s="2">
        <v>46258.444138877312</v>
      </c>
      <c r="D16" s="2">
        <v>44912.008739513891</v>
      </c>
      <c r="E16" s="2">
        <v>46258.385565243057</v>
      </c>
      <c r="F16" s="1" t="s">
        <v>594</v>
      </c>
      <c r="G16" s="1" t="s">
        <v>25</v>
      </c>
      <c r="H16" s="3">
        <v>44911</v>
      </c>
      <c r="I16" s="1">
        <v>6968.4699999999984</v>
      </c>
      <c r="J16" s="1">
        <v>9075</v>
      </c>
      <c r="K16" s="1">
        <v>2106.5300000000016</v>
      </c>
      <c r="L16" s="1">
        <v>2610.1000000000004</v>
      </c>
      <c r="M16" s="1">
        <v>3990</v>
      </c>
      <c r="N16" s="1">
        <v>1379.8999999999996</v>
      </c>
      <c r="O16" s="1">
        <v>282.66000000000003</v>
      </c>
      <c r="P16" s="1">
        <v>1490</v>
      </c>
      <c r="Q16" s="1">
        <v>1207.3399999999999</v>
      </c>
      <c r="R16" s="1">
        <v>585</v>
      </c>
      <c r="S16" s="1">
        <v>560</v>
      </c>
      <c r="T16" s="1">
        <v>-25</v>
      </c>
      <c r="U16" s="1">
        <v>2100</v>
      </c>
      <c r="V16" s="1">
        <v>15115</v>
      </c>
      <c r="W16" s="1">
        <v>4668.7700000000013</v>
      </c>
      <c r="X16" s="1">
        <v>2568.7700000000013</v>
      </c>
      <c r="AB16" s="2" t="str">
        <f t="shared" si="0"/>
        <v>PASS</v>
      </c>
      <c r="AV16" s="1"/>
      <c r="AW16" s="1"/>
      <c r="AX16" s="1"/>
    </row>
    <row r="17" spans="1:50">
      <c r="A17" s="1" t="s">
        <v>48</v>
      </c>
      <c r="B17" s="1" t="s">
        <v>24</v>
      </c>
      <c r="C17" s="2">
        <v>46258.444139791667</v>
      </c>
      <c r="D17" s="2">
        <v>44913.0277559838</v>
      </c>
      <c r="E17" s="2">
        <v>46258.385565335651</v>
      </c>
      <c r="F17" s="1" t="s">
        <v>594</v>
      </c>
      <c r="G17" s="1" t="s">
        <v>25</v>
      </c>
      <c r="H17" s="3">
        <v>44912</v>
      </c>
      <c r="I17" s="1">
        <v>6277.9250000000011</v>
      </c>
      <c r="J17" s="1">
        <v>7310</v>
      </c>
      <c r="K17" s="1">
        <v>1032.0749999999989</v>
      </c>
      <c r="L17" s="1">
        <v>1765.1</v>
      </c>
      <c r="M17" s="1">
        <v>3150</v>
      </c>
      <c r="N17" s="1">
        <v>1384.9</v>
      </c>
      <c r="O17" s="1">
        <v>118</v>
      </c>
      <c r="P17" s="1">
        <v>120</v>
      </c>
      <c r="Q17" s="1">
        <v>2</v>
      </c>
      <c r="R17" s="1">
        <v>314.16666666666669</v>
      </c>
      <c r="S17" s="1">
        <v>420</v>
      </c>
      <c r="T17" s="1">
        <v>105.83333333333331</v>
      </c>
      <c r="U17" s="1">
        <v>2100</v>
      </c>
      <c r="V17" s="1">
        <v>11000</v>
      </c>
      <c r="W17" s="1">
        <v>2524.8083333333325</v>
      </c>
      <c r="X17" s="1">
        <v>424.80833333333248</v>
      </c>
      <c r="AB17" s="2" t="str">
        <f t="shared" si="0"/>
        <v>PASS</v>
      </c>
      <c r="AV17" s="1"/>
      <c r="AW17" s="1"/>
      <c r="AX17" s="1"/>
    </row>
    <row r="18" spans="1:50">
      <c r="A18" s="1" t="s">
        <v>49</v>
      </c>
      <c r="B18" s="1" t="s">
        <v>24</v>
      </c>
      <c r="C18" s="2">
        <v>46258.444140821761</v>
      </c>
      <c r="D18" s="2">
        <v>44914.010607060183</v>
      </c>
      <c r="E18" s="2">
        <v>46258.385565428238</v>
      </c>
      <c r="F18" s="1" t="s">
        <v>594</v>
      </c>
      <c r="G18" s="1" t="s">
        <v>25</v>
      </c>
      <c r="H18" s="3">
        <v>44913</v>
      </c>
      <c r="I18" s="1">
        <v>7192.3549999999996</v>
      </c>
      <c r="J18" s="1">
        <v>7570</v>
      </c>
      <c r="K18" s="1">
        <v>377.64500000000049</v>
      </c>
      <c r="L18" s="1">
        <v>1874.25</v>
      </c>
      <c r="M18" s="1">
        <v>3570</v>
      </c>
      <c r="N18" s="1">
        <v>1695.7500000000002</v>
      </c>
      <c r="O18" s="1">
        <v>202</v>
      </c>
      <c r="P18" s="1">
        <v>480</v>
      </c>
      <c r="Q18" s="1">
        <v>278</v>
      </c>
      <c r="R18" s="1">
        <v>420.83333333333326</v>
      </c>
      <c r="S18" s="1">
        <v>490</v>
      </c>
      <c r="T18" s="1">
        <v>69.166666666666686</v>
      </c>
      <c r="U18" s="1">
        <v>2100</v>
      </c>
      <c r="V18" s="1">
        <v>12110</v>
      </c>
      <c r="W18" s="1">
        <v>2420.561666666667</v>
      </c>
      <c r="X18" s="1">
        <v>320.56166666666695</v>
      </c>
      <c r="AB18" s="2" t="str">
        <f t="shared" si="0"/>
        <v>PASS</v>
      </c>
      <c r="AV18" s="1"/>
      <c r="AW18" s="1"/>
      <c r="AX18" s="1"/>
    </row>
    <row r="19" spans="1:50">
      <c r="A19" s="1" t="s">
        <v>50</v>
      </c>
      <c r="B19" s="1" t="s">
        <v>24</v>
      </c>
      <c r="C19" s="2">
        <v>46258.444141828702</v>
      </c>
      <c r="D19" s="2">
        <v>44915.011056157404</v>
      </c>
      <c r="E19" s="2">
        <v>46258.385565555553</v>
      </c>
      <c r="F19" s="1" t="s">
        <v>594</v>
      </c>
      <c r="G19" s="1" t="s">
        <v>25</v>
      </c>
      <c r="H19" s="3">
        <v>44914</v>
      </c>
      <c r="I19" s="1">
        <v>7391.92</v>
      </c>
      <c r="J19" s="1">
        <v>7320</v>
      </c>
      <c r="K19" s="1">
        <v>-71.920000000000073</v>
      </c>
      <c r="L19" s="1">
        <v>854.05</v>
      </c>
      <c r="M19" s="1">
        <v>1050</v>
      </c>
      <c r="N19" s="1">
        <v>195.94999999999993</v>
      </c>
      <c r="O19" s="1">
        <v>174</v>
      </c>
      <c r="P19" s="1">
        <v>990</v>
      </c>
      <c r="Q19" s="1">
        <v>816</v>
      </c>
      <c r="R19" s="1">
        <v>580.83333333333326</v>
      </c>
      <c r="S19" s="1">
        <v>760</v>
      </c>
      <c r="T19" s="1">
        <v>179.16666666666674</v>
      </c>
      <c r="U19" s="1">
        <v>2100</v>
      </c>
      <c r="V19" s="1">
        <v>10120</v>
      </c>
      <c r="W19" s="1">
        <v>1119.1966666666667</v>
      </c>
      <c r="X19" s="1">
        <v>-980.80333333333328</v>
      </c>
      <c r="AB19" s="2" t="str">
        <f t="shared" si="0"/>
        <v>PASS</v>
      </c>
      <c r="AV19" s="1"/>
      <c r="AW19" s="1"/>
      <c r="AX19" s="1"/>
    </row>
    <row r="20" spans="1:50">
      <c r="A20" s="1" t="s">
        <v>51</v>
      </c>
      <c r="B20" s="1" t="s">
        <v>24</v>
      </c>
      <c r="C20" s="2">
        <v>46258.444142858796</v>
      </c>
      <c r="D20" s="2">
        <v>44916.013335752315</v>
      </c>
      <c r="E20" s="2">
        <v>46258.385565810182</v>
      </c>
      <c r="F20" s="1" t="s">
        <v>594</v>
      </c>
      <c r="G20" s="1" t="s">
        <v>25</v>
      </c>
      <c r="H20" s="3">
        <v>44915</v>
      </c>
      <c r="I20" s="1">
        <v>5568.7099999999991</v>
      </c>
      <c r="J20" s="1">
        <v>6860</v>
      </c>
      <c r="K20" s="1">
        <v>1291.2900000000009</v>
      </c>
      <c r="L20" s="1">
        <v>1822.2999999999995</v>
      </c>
      <c r="M20" s="1">
        <v>3360</v>
      </c>
      <c r="N20" s="1">
        <v>1537.7000000000005</v>
      </c>
      <c r="O20" s="1">
        <v>118</v>
      </c>
      <c r="P20" s="1">
        <v>370</v>
      </c>
      <c r="Q20" s="1">
        <v>252</v>
      </c>
      <c r="R20" s="1">
        <v>357.5</v>
      </c>
      <c r="S20" s="1">
        <v>460</v>
      </c>
      <c r="T20" s="1">
        <v>102.5</v>
      </c>
      <c r="U20" s="1">
        <v>2500</v>
      </c>
      <c r="V20" s="1">
        <v>11050</v>
      </c>
      <c r="W20" s="1">
        <v>3183.4900000000011</v>
      </c>
      <c r="X20" s="1">
        <v>683.49000000000115</v>
      </c>
      <c r="AB20" s="2" t="str">
        <f t="shared" si="0"/>
        <v>PASS</v>
      </c>
      <c r="AV20" s="1"/>
      <c r="AW20" s="1"/>
      <c r="AX20" s="1"/>
    </row>
    <row r="21" spans="1:50">
      <c r="A21" s="1" t="s">
        <v>52</v>
      </c>
      <c r="B21" s="1" t="s">
        <v>24</v>
      </c>
      <c r="C21" s="2">
        <v>46258.444143738423</v>
      </c>
      <c r="D21" s="2">
        <v>44916.997499814817</v>
      </c>
      <c r="E21" s="2">
        <v>46258.38556599537</v>
      </c>
      <c r="F21" s="1" t="s">
        <v>594</v>
      </c>
      <c r="G21" s="1" t="s">
        <v>25</v>
      </c>
      <c r="H21" s="3">
        <v>44916</v>
      </c>
      <c r="I21" s="1">
        <v>6487.8249999999989</v>
      </c>
      <c r="J21" s="1">
        <v>6860</v>
      </c>
      <c r="K21" s="1">
        <v>372.17500000000115</v>
      </c>
      <c r="L21" s="1">
        <v>2472.5000000000005</v>
      </c>
      <c r="M21" s="1">
        <v>4330</v>
      </c>
      <c r="N21" s="1">
        <v>1857.4999999999995</v>
      </c>
      <c r="O21" s="1">
        <v>169.66000000000003</v>
      </c>
      <c r="P21" s="1">
        <v>1050</v>
      </c>
      <c r="Q21" s="1">
        <v>880.33999999999992</v>
      </c>
      <c r="R21" s="1">
        <v>820.83333333333326</v>
      </c>
      <c r="S21" s="1">
        <v>1070</v>
      </c>
      <c r="T21" s="1">
        <v>249.16666666666671</v>
      </c>
      <c r="U21" s="1">
        <v>2500</v>
      </c>
      <c r="V21" s="1">
        <v>13310</v>
      </c>
      <c r="W21" s="1">
        <v>3359.1816666666673</v>
      </c>
      <c r="X21" s="1">
        <v>859.1816666666673</v>
      </c>
      <c r="AB21" s="2" t="str">
        <f t="shared" si="0"/>
        <v>PASS</v>
      </c>
      <c r="AV21" s="1"/>
      <c r="AW21" s="1"/>
      <c r="AX21" s="1"/>
    </row>
    <row r="22" spans="1:50">
      <c r="A22" s="1" t="s">
        <v>405</v>
      </c>
      <c r="B22" s="1" t="s">
        <v>24</v>
      </c>
      <c r="C22" s="2">
        <v>46258.444145057867</v>
      </c>
      <c r="D22" s="2">
        <v>44917.996649166664</v>
      </c>
      <c r="E22" s="2">
        <v>46258.385566122684</v>
      </c>
      <c r="F22" s="1" t="s">
        <v>594</v>
      </c>
      <c r="G22" s="1" t="s">
        <v>25</v>
      </c>
      <c r="H22" s="3">
        <v>44917</v>
      </c>
      <c r="I22" s="1">
        <v>5583.74</v>
      </c>
      <c r="J22" s="1">
        <v>6850</v>
      </c>
      <c r="K22" s="1">
        <v>1266.2600000000002</v>
      </c>
      <c r="L22" s="1">
        <v>1275.1499999999996</v>
      </c>
      <c r="M22" s="1">
        <v>2520</v>
      </c>
      <c r="N22" s="1">
        <v>1244.8500000000004</v>
      </c>
      <c r="O22" s="1">
        <v>163.83000000000001</v>
      </c>
      <c r="P22" s="1">
        <v>1050</v>
      </c>
      <c r="Q22" s="1">
        <v>886.17</v>
      </c>
      <c r="R22" s="1">
        <v>854.16666666666652</v>
      </c>
      <c r="S22" s="1">
        <v>1070</v>
      </c>
      <c r="T22" s="1">
        <v>215.83333333333348</v>
      </c>
      <c r="U22" s="1">
        <v>2500</v>
      </c>
      <c r="V22" s="1">
        <v>11490</v>
      </c>
      <c r="W22" s="1">
        <v>3613.1133333333346</v>
      </c>
      <c r="X22" s="1">
        <v>1113.1133333333339</v>
      </c>
      <c r="AB22" s="2" t="str">
        <f t="shared" si="0"/>
        <v>PASS</v>
      </c>
      <c r="AV22" s="1"/>
      <c r="AW22" s="1"/>
      <c r="AX22" s="1"/>
    </row>
    <row r="23" spans="1:50">
      <c r="A23" s="1" t="s">
        <v>53</v>
      </c>
      <c r="B23" s="1" t="s">
        <v>24</v>
      </c>
      <c r="C23" s="2">
        <v>46258.44414615741</v>
      </c>
      <c r="D23" s="2">
        <v>44919.98935207176</v>
      </c>
      <c r="E23" s="2">
        <v>46258.385566215278</v>
      </c>
      <c r="F23" s="1" t="s">
        <v>594</v>
      </c>
      <c r="G23" s="1" t="s">
        <v>25</v>
      </c>
      <c r="H23" s="3">
        <v>44918</v>
      </c>
      <c r="I23" s="1">
        <v>7674.625</v>
      </c>
      <c r="J23" s="1">
        <v>9350</v>
      </c>
      <c r="K23" s="1">
        <v>1675.375</v>
      </c>
      <c r="L23" s="1">
        <v>2894</v>
      </c>
      <c r="M23" s="1">
        <v>5460</v>
      </c>
      <c r="N23" s="1">
        <v>2566</v>
      </c>
      <c r="O23" s="1">
        <v>230</v>
      </c>
      <c r="P23" s="1">
        <v>1330</v>
      </c>
      <c r="Q23" s="1">
        <v>1100</v>
      </c>
      <c r="R23" s="1">
        <v>450</v>
      </c>
      <c r="S23" s="1">
        <v>600</v>
      </c>
      <c r="T23" s="1">
        <v>150</v>
      </c>
      <c r="U23" s="1">
        <v>2500</v>
      </c>
      <c r="V23" s="1">
        <v>16740</v>
      </c>
      <c r="W23" s="1">
        <v>5491.375</v>
      </c>
      <c r="X23" s="1">
        <v>2991.375</v>
      </c>
      <c r="AB23" s="2" t="str">
        <f t="shared" si="0"/>
        <v>PASS</v>
      </c>
      <c r="AV23" s="1"/>
      <c r="AW23" s="1"/>
      <c r="AX23" s="1"/>
    </row>
    <row r="24" spans="1:50">
      <c r="A24" s="1" t="s">
        <v>54</v>
      </c>
      <c r="B24" s="1" t="s">
        <v>24</v>
      </c>
      <c r="C24" s="2">
        <v>46258.444147499999</v>
      </c>
      <c r="D24" s="2">
        <v>44920.023234062501</v>
      </c>
      <c r="E24" s="2">
        <v>46258.385566354169</v>
      </c>
      <c r="F24" s="1" t="s">
        <v>594</v>
      </c>
      <c r="G24" s="1" t="s">
        <v>25</v>
      </c>
      <c r="H24" s="3">
        <v>44919</v>
      </c>
      <c r="I24" s="1">
        <v>8361.994999999999</v>
      </c>
      <c r="J24" s="1">
        <v>10180</v>
      </c>
      <c r="K24" s="1">
        <v>1818.005000000001</v>
      </c>
      <c r="L24" s="1">
        <v>2616.0500000000002</v>
      </c>
      <c r="M24" s="1">
        <v>4620</v>
      </c>
      <c r="N24" s="1">
        <v>2003.95</v>
      </c>
      <c r="O24" s="1">
        <v>424.15</v>
      </c>
      <c r="P24" s="1">
        <v>1280</v>
      </c>
      <c r="Q24" s="1">
        <v>855.85</v>
      </c>
      <c r="R24" s="1">
        <v>367.5</v>
      </c>
      <c r="S24" s="1">
        <v>490</v>
      </c>
      <c r="T24" s="1">
        <v>122.5</v>
      </c>
      <c r="U24" s="1">
        <v>2500</v>
      </c>
      <c r="V24" s="1">
        <v>16570</v>
      </c>
      <c r="W24" s="1">
        <v>4800.3050000000012</v>
      </c>
      <c r="X24" s="1">
        <v>2300.3050000000012</v>
      </c>
      <c r="AB24" s="2" t="str">
        <f t="shared" si="0"/>
        <v>PASS</v>
      </c>
      <c r="AV24" s="1"/>
      <c r="AW24" s="1"/>
      <c r="AX24" s="1"/>
    </row>
    <row r="25" spans="1:50">
      <c r="A25" s="1" t="s">
        <v>55</v>
      </c>
      <c r="B25" s="1" t="s">
        <v>24</v>
      </c>
      <c r="C25" s="2">
        <v>46258.444148587965</v>
      </c>
      <c r="D25" s="2">
        <v>44921.020401331021</v>
      </c>
      <c r="E25" s="2">
        <v>46258.385566446763</v>
      </c>
      <c r="F25" s="1" t="s">
        <v>594</v>
      </c>
      <c r="G25" s="1" t="s">
        <v>25</v>
      </c>
      <c r="H25" s="3">
        <v>44920</v>
      </c>
      <c r="I25" s="1">
        <v>8661.720000000003</v>
      </c>
      <c r="J25" s="1">
        <v>8850</v>
      </c>
      <c r="K25" s="1">
        <v>188.27999999999705</v>
      </c>
      <c r="L25" s="1">
        <v>979.85</v>
      </c>
      <c r="M25" s="1">
        <v>1680</v>
      </c>
      <c r="N25" s="1">
        <v>700.15</v>
      </c>
      <c r="O25" s="1">
        <v>385</v>
      </c>
      <c r="P25" s="1">
        <v>1710</v>
      </c>
      <c r="Q25" s="1">
        <v>1325</v>
      </c>
      <c r="R25" s="1">
        <v>612.5</v>
      </c>
      <c r="S25" s="1">
        <v>820</v>
      </c>
      <c r="T25" s="1">
        <v>207.5</v>
      </c>
      <c r="U25" s="1">
        <v>2500</v>
      </c>
      <c r="V25" s="1">
        <v>13060</v>
      </c>
      <c r="W25" s="1">
        <v>2420.9299999999971</v>
      </c>
      <c r="X25" s="1">
        <v>-79.070000000002892</v>
      </c>
      <c r="AB25" s="2" t="str">
        <f t="shared" si="0"/>
        <v>PASS</v>
      </c>
      <c r="AV25" s="1"/>
      <c r="AW25" s="1"/>
      <c r="AX25" s="1"/>
    </row>
    <row r="26" spans="1:50">
      <c r="A26" s="1" t="s">
        <v>56</v>
      </c>
      <c r="B26" s="1" t="s">
        <v>24</v>
      </c>
      <c r="C26" s="2">
        <v>46258.444149502313</v>
      </c>
      <c r="D26" s="2">
        <v>44922.01314693287</v>
      </c>
      <c r="E26" s="2">
        <v>46258.385566655095</v>
      </c>
      <c r="F26" s="1" t="s">
        <v>594</v>
      </c>
      <c r="G26" s="1" t="s">
        <v>25</v>
      </c>
      <c r="H26" s="3">
        <v>44921</v>
      </c>
      <c r="I26" s="1">
        <v>7604.17</v>
      </c>
      <c r="J26" s="1">
        <v>7640</v>
      </c>
      <c r="K26" s="1">
        <v>35.829999999999927</v>
      </c>
      <c r="L26" s="1">
        <v>2245.4499999999998</v>
      </c>
      <c r="M26" s="1">
        <v>3990</v>
      </c>
      <c r="N26" s="1">
        <v>1744.5500000000002</v>
      </c>
      <c r="O26" s="1">
        <v>275.15000000000003</v>
      </c>
      <c r="P26" s="1">
        <v>970</v>
      </c>
      <c r="Q26" s="1">
        <v>694.84999999999991</v>
      </c>
      <c r="R26" s="1">
        <v>564.16666666666663</v>
      </c>
      <c r="S26" s="1">
        <v>740</v>
      </c>
      <c r="T26" s="1">
        <v>175.83333333333337</v>
      </c>
      <c r="U26" s="1">
        <v>2100</v>
      </c>
      <c r="V26" s="1">
        <v>13340</v>
      </c>
      <c r="W26" s="1">
        <v>2651.0633333333335</v>
      </c>
      <c r="X26" s="1">
        <v>551.0633333333335</v>
      </c>
      <c r="AB26" s="2" t="str">
        <f t="shared" si="0"/>
        <v>PASS</v>
      </c>
      <c r="AV26" s="1"/>
      <c r="AW26" s="1"/>
      <c r="AX26" s="1"/>
    </row>
    <row r="27" spans="1:50">
      <c r="A27" s="1" t="s">
        <v>57</v>
      </c>
      <c r="B27" s="1" t="s">
        <v>24</v>
      </c>
      <c r="C27" s="2">
        <v>46258.444150555559</v>
      </c>
      <c r="D27" s="2">
        <v>44923.007460624998</v>
      </c>
      <c r="E27" s="2">
        <v>46258.385566817131</v>
      </c>
      <c r="F27" s="1" t="s">
        <v>594</v>
      </c>
      <c r="G27" s="1" t="s">
        <v>25</v>
      </c>
      <c r="H27" s="3">
        <v>44922</v>
      </c>
      <c r="I27" s="1">
        <v>7111.335</v>
      </c>
      <c r="J27" s="1">
        <v>6810</v>
      </c>
      <c r="K27" s="1">
        <v>-301.33500000000004</v>
      </c>
      <c r="L27" s="1">
        <v>1130.6500000000001</v>
      </c>
      <c r="M27" s="1">
        <v>2100</v>
      </c>
      <c r="N27" s="1">
        <v>969.35000000000014</v>
      </c>
      <c r="O27" s="1">
        <v>245</v>
      </c>
      <c r="P27" s="1">
        <v>1330</v>
      </c>
      <c r="Q27" s="1">
        <v>1085</v>
      </c>
      <c r="R27" s="1">
        <v>1186.6666666666663</v>
      </c>
      <c r="S27" s="1">
        <v>1570</v>
      </c>
      <c r="T27" s="1">
        <v>383.33333333333343</v>
      </c>
      <c r="U27" s="1">
        <v>2100</v>
      </c>
      <c r="V27" s="1">
        <v>11810</v>
      </c>
      <c r="W27" s="1">
        <v>2136.3483333333338</v>
      </c>
      <c r="X27" s="1">
        <v>36.348333333333358</v>
      </c>
      <c r="AB27" s="2" t="str">
        <f t="shared" si="0"/>
        <v>PASS</v>
      </c>
      <c r="AV27" s="1"/>
      <c r="AW27" s="1"/>
      <c r="AX27" s="1"/>
    </row>
    <row r="28" spans="1:50">
      <c r="A28" s="1" t="s">
        <v>58</v>
      </c>
      <c r="B28" s="1" t="s">
        <v>24</v>
      </c>
      <c r="C28" s="2">
        <v>46258.44415145833</v>
      </c>
      <c r="D28" s="2">
        <v>44924.076842025461</v>
      </c>
      <c r="E28" s="2">
        <v>46258.385566979166</v>
      </c>
      <c r="F28" s="1" t="s">
        <v>594</v>
      </c>
      <c r="G28" s="1" t="s">
        <v>25</v>
      </c>
      <c r="H28" s="3">
        <v>44923</v>
      </c>
      <c r="I28" s="1">
        <v>6804.1849999999986</v>
      </c>
      <c r="J28" s="1">
        <v>7980</v>
      </c>
      <c r="K28" s="1">
        <v>1175.8150000000014</v>
      </c>
      <c r="L28" s="1">
        <v>1055.7</v>
      </c>
      <c r="M28" s="1">
        <v>2310</v>
      </c>
      <c r="N28" s="1">
        <v>1254.3</v>
      </c>
      <c r="O28" s="1">
        <v>258</v>
      </c>
      <c r="P28" s="1">
        <v>720</v>
      </c>
      <c r="Q28" s="1">
        <v>462</v>
      </c>
      <c r="R28" s="1">
        <v>494.16666666666663</v>
      </c>
      <c r="S28" s="1">
        <v>670</v>
      </c>
      <c r="T28" s="1">
        <v>175.83333333333337</v>
      </c>
      <c r="U28" s="1">
        <v>2100</v>
      </c>
      <c r="V28" s="1">
        <v>11680</v>
      </c>
      <c r="W28" s="1">
        <v>3067.9483333333351</v>
      </c>
      <c r="X28" s="1">
        <v>967.94833333333509</v>
      </c>
      <c r="AB28" s="2" t="str">
        <f t="shared" si="0"/>
        <v>PASS</v>
      </c>
      <c r="AV28" s="1"/>
      <c r="AW28" s="1"/>
      <c r="AX28" s="1"/>
    </row>
    <row r="29" spans="1:50">
      <c r="A29" s="1" t="s">
        <v>59</v>
      </c>
      <c r="B29" s="1" t="s">
        <v>24</v>
      </c>
      <c r="C29" s="2">
        <v>46258.444152430558</v>
      </c>
      <c r="D29" s="2">
        <v>44925.024087453705</v>
      </c>
      <c r="E29" s="2">
        <v>46258.385567164354</v>
      </c>
      <c r="F29" s="1" t="s">
        <v>594</v>
      </c>
      <c r="G29" s="1" t="s">
        <v>25</v>
      </c>
      <c r="H29" s="3">
        <v>44924</v>
      </c>
      <c r="I29" s="1">
        <v>5412.44</v>
      </c>
      <c r="J29" s="1">
        <v>8410</v>
      </c>
      <c r="K29" s="1">
        <v>2997.5600000000004</v>
      </c>
      <c r="L29" s="1">
        <v>1068.8499999999999</v>
      </c>
      <c r="M29" s="1">
        <v>1470</v>
      </c>
      <c r="N29" s="1">
        <v>401.14999999999986</v>
      </c>
      <c r="O29" s="1">
        <v>174</v>
      </c>
      <c r="P29" s="1">
        <v>860</v>
      </c>
      <c r="Q29" s="1">
        <v>686</v>
      </c>
      <c r="R29" s="1">
        <v>453.33333333333337</v>
      </c>
      <c r="S29" s="1">
        <v>670</v>
      </c>
      <c r="T29" s="1">
        <v>216.66666666666663</v>
      </c>
      <c r="U29" s="1">
        <v>2100</v>
      </c>
      <c r="V29" s="1">
        <v>11410</v>
      </c>
      <c r="W29" s="1">
        <v>4301.376666666667</v>
      </c>
      <c r="X29" s="1">
        <v>2201.376666666667</v>
      </c>
      <c r="AB29" s="2" t="str">
        <f t="shared" si="0"/>
        <v>PASS</v>
      </c>
      <c r="AV29" s="1"/>
      <c r="AW29" s="1"/>
      <c r="AX29" s="1"/>
    </row>
    <row r="30" spans="1:50">
      <c r="A30" s="1" t="s">
        <v>60</v>
      </c>
      <c r="B30" s="1" t="s">
        <v>24</v>
      </c>
      <c r="C30" s="2">
        <v>46258.444153483797</v>
      </c>
      <c r="D30" s="2">
        <v>44926.014628240744</v>
      </c>
      <c r="E30" s="2">
        <v>46258.385567256948</v>
      </c>
      <c r="F30" s="1" t="s">
        <v>594</v>
      </c>
      <c r="G30" s="1" t="s">
        <v>25</v>
      </c>
      <c r="H30" s="3">
        <v>44925</v>
      </c>
      <c r="I30" s="1">
        <v>8308.27</v>
      </c>
      <c r="J30" s="1">
        <v>7820</v>
      </c>
      <c r="K30" s="1">
        <v>-488.27000000000049</v>
      </c>
      <c r="L30" s="1">
        <v>952.45</v>
      </c>
      <c r="M30" s="1">
        <v>1470</v>
      </c>
      <c r="N30" s="1">
        <v>517.55000000000007</v>
      </c>
      <c r="O30" s="1">
        <v>181.31999999999996</v>
      </c>
      <c r="P30" s="1">
        <v>550</v>
      </c>
      <c r="Q30" s="1">
        <v>368.68000000000006</v>
      </c>
      <c r="R30" s="1">
        <v>316.66666666666669</v>
      </c>
      <c r="S30" s="1">
        <v>430</v>
      </c>
      <c r="T30" s="1">
        <v>113.33333333333331</v>
      </c>
      <c r="U30" s="1">
        <v>2100</v>
      </c>
      <c r="V30" s="1">
        <v>10270</v>
      </c>
      <c r="W30" s="1">
        <v>511.29333333333307</v>
      </c>
      <c r="X30" s="1">
        <v>-1588.7066666666667</v>
      </c>
      <c r="AB30" s="2" t="str">
        <f t="shared" si="0"/>
        <v>PASS</v>
      </c>
      <c r="AV30" s="1"/>
      <c r="AW30" s="1"/>
      <c r="AX30" s="1"/>
    </row>
    <row r="31" spans="1:50">
      <c r="A31" s="1" t="s">
        <v>61</v>
      </c>
      <c r="B31" s="1" t="s">
        <v>24</v>
      </c>
      <c r="C31" s="2">
        <v>46258.444154826386</v>
      </c>
      <c r="D31" s="2">
        <v>44927.023330069445</v>
      </c>
      <c r="E31" s="2">
        <v>46258.385567337966</v>
      </c>
      <c r="F31" s="1" t="s">
        <v>594</v>
      </c>
      <c r="G31" s="1" t="s">
        <v>25</v>
      </c>
      <c r="H31" s="3">
        <v>44926</v>
      </c>
      <c r="I31" s="1">
        <v>6860.2300000000014</v>
      </c>
      <c r="J31" s="1">
        <v>8835</v>
      </c>
      <c r="K31" s="1">
        <v>1974.7699999999984</v>
      </c>
      <c r="L31" s="1">
        <v>2586.7000000000003</v>
      </c>
      <c r="M31" s="1">
        <v>5880</v>
      </c>
      <c r="N31" s="1">
        <v>3293.2999999999997</v>
      </c>
      <c r="O31" s="1">
        <v>303.83000000000004</v>
      </c>
      <c r="P31" s="1">
        <v>1580</v>
      </c>
      <c r="Q31" s="1">
        <v>1276.17</v>
      </c>
      <c r="R31" s="1">
        <v>559.16666666666663</v>
      </c>
      <c r="S31" s="1">
        <v>760</v>
      </c>
      <c r="T31" s="1">
        <v>200.83333333333337</v>
      </c>
      <c r="U31" s="1">
        <v>2100</v>
      </c>
      <c r="V31" s="1">
        <v>17055</v>
      </c>
      <c r="W31" s="1">
        <v>6745.073333333331</v>
      </c>
      <c r="X31" s="1">
        <v>4645.073333333331</v>
      </c>
      <c r="AB31" s="2" t="str">
        <f t="shared" si="0"/>
        <v>PASS</v>
      </c>
      <c r="AV31" s="1"/>
      <c r="AW31" s="1"/>
      <c r="AX31" s="1"/>
    </row>
    <row r="32" spans="1:50">
      <c r="A32" s="1" t="s">
        <v>62</v>
      </c>
      <c r="B32" s="1" t="s">
        <v>24</v>
      </c>
      <c r="C32" s="2">
        <v>46258.444157060185</v>
      </c>
      <c r="D32" s="2">
        <v>44928.031450937502</v>
      </c>
      <c r="E32" s="2">
        <v>46258.385574004627</v>
      </c>
      <c r="F32" s="1" t="s">
        <v>595</v>
      </c>
      <c r="G32" s="1" t="s">
        <v>25</v>
      </c>
      <c r="H32" s="3">
        <v>44927</v>
      </c>
      <c r="I32" s="1">
        <v>7314.2470000000003</v>
      </c>
      <c r="J32" s="1">
        <v>10130</v>
      </c>
      <c r="K32" s="1">
        <v>2815.7530000000006</v>
      </c>
      <c r="L32" s="1">
        <v>1446.35</v>
      </c>
      <c r="M32" s="1">
        <v>2730</v>
      </c>
      <c r="N32" s="1">
        <v>1283.6500000000001</v>
      </c>
      <c r="O32" s="1">
        <v>118</v>
      </c>
      <c r="P32" s="1">
        <v>370</v>
      </c>
      <c r="Q32" s="1">
        <v>252</v>
      </c>
      <c r="R32" s="1">
        <v>408.33333333333337</v>
      </c>
      <c r="S32" s="1">
        <v>520</v>
      </c>
      <c r="T32" s="1">
        <v>111.66666666666664</v>
      </c>
      <c r="U32" s="1">
        <v>2100</v>
      </c>
      <c r="V32" s="1">
        <v>13750</v>
      </c>
      <c r="W32" s="1">
        <v>4463.0696666666672</v>
      </c>
      <c r="X32" s="1">
        <v>2363.0696666666672</v>
      </c>
      <c r="AB32" s="2" t="str">
        <f t="shared" si="0"/>
        <v>PASS</v>
      </c>
      <c r="AV32" s="1"/>
      <c r="AW32" s="1"/>
      <c r="AX32" s="1"/>
    </row>
    <row r="33" spans="1:50">
      <c r="A33" s="1" t="s">
        <v>63</v>
      </c>
      <c r="B33" s="1" t="s">
        <v>24</v>
      </c>
      <c r="C33" s="2">
        <v>46258.444158449071</v>
      </c>
      <c r="D33" s="2">
        <v>44929.014758715275</v>
      </c>
      <c r="E33" s="2">
        <v>46258.385574097221</v>
      </c>
      <c r="F33" s="1" t="s">
        <v>595</v>
      </c>
      <c r="G33" s="1" t="s">
        <v>25</v>
      </c>
      <c r="H33" s="3">
        <v>44928</v>
      </c>
      <c r="I33" s="1">
        <v>7365.0879999999997</v>
      </c>
      <c r="J33" s="1">
        <v>9800</v>
      </c>
      <c r="K33" s="1">
        <v>2434.9119999999994</v>
      </c>
      <c r="L33" s="1">
        <v>2228.8249999999998</v>
      </c>
      <c r="M33" s="1">
        <v>3990</v>
      </c>
      <c r="N33" s="1">
        <v>1761.1750000000002</v>
      </c>
      <c r="O33" s="1">
        <v>232.49</v>
      </c>
      <c r="P33" s="1">
        <v>500</v>
      </c>
      <c r="Q33" s="1">
        <v>267.51</v>
      </c>
      <c r="R33" s="1">
        <v>810.83333333333326</v>
      </c>
      <c r="S33" s="1">
        <v>1010</v>
      </c>
      <c r="T33" s="1">
        <v>199.16666666666671</v>
      </c>
      <c r="U33" s="1">
        <v>2100</v>
      </c>
      <c r="V33" s="1">
        <v>15300</v>
      </c>
      <c r="W33" s="1">
        <v>4662.7636666666667</v>
      </c>
      <c r="X33" s="1">
        <v>2562.7636666666667</v>
      </c>
      <c r="AB33" s="2" t="str">
        <f t="shared" si="0"/>
        <v>PASS</v>
      </c>
      <c r="AV33" s="1"/>
      <c r="AW33" s="1"/>
      <c r="AX33" s="1"/>
    </row>
    <row r="34" spans="1:50">
      <c r="A34" s="1" t="s">
        <v>64</v>
      </c>
      <c r="B34" s="1" t="s">
        <v>24</v>
      </c>
      <c r="C34" s="2">
        <v>46258.444159976854</v>
      </c>
      <c r="D34" s="2">
        <v>44930.011853101852</v>
      </c>
      <c r="E34" s="2">
        <v>46258.38557421296</v>
      </c>
      <c r="F34" s="1" t="s">
        <v>595</v>
      </c>
      <c r="G34" s="1" t="s">
        <v>25</v>
      </c>
      <c r="H34" s="3">
        <v>44929</v>
      </c>
      <c r="I34" s="1">
        <v>6225.1050000000005</v>
      </c>
      <c r="J34" s="1">
        <v>8020</v>
      </c>
      <c r="K34" s="1">
        <v>1794.8949999999995</v>
      </c>
      <c r="L34" s="1">
        <v>790.57500000000005</v>
      </c>
      <c r="M34" s="1">
        <v>840</v>
      </c>
      <c r="N34" s="1">
        <v>49.424999999999955</v>
      </c>
      <c r="O34" s="1">
        <v>367.49</v>
      </c>
      <c r="P34" s="1">
        <v>1390</v>
      </c>
      <c r="Q34" s="1">
        <v>1022.51</v>
      </c>
      <c r="R34" s="1">
        <v>490.83333333333326</v>
      </c>
      <c r="S34" s="1">
        <v>600</v>
      </c>
      <c r="T34" s="1">
        <v>109.16666666666669</v>
      </c>
      <c r="U34" s="1">
        <v>2500</v>
      </c>
      <c r="V34" s="1">
        <v>10850</v>
      </c>
      <c r="W34" s="1">
        <v>2975.9966666666664</v>
      </c>
      <c r="X34" s="1">
        <v>475.99666666666639</v>
      </c>
      <c r="AB34" s="2" t="str">
        <f t="shared" si="0"/>
        <v>PASS</v>
      </c>
      <c r="AV34" s="1"/>
      <c r="AW34" s="1"/>
      <c r="AX34" s="1"/>
    </row>
    <row r="35" spans="1:50">
      <c r="A35" s="1" t="s">
        <v>65</v>
      </c>
      <c r="B35" s="1" t="s">
        <v>24</v>
      </c>
      <c r="C35" s="2">
        <v>46258.444161550928</v>
      </c>
      <c r="D35" s="2">
        <v>44931.016521620368</v>
      </c>
      <c r="E35" s="2">
        <v>46258.385574467589</v>
      </c>
      <c r="F35" s="1" t="s">
        <v>595</v>
      </c>
      <c r="G35" s="1" t="s">
        <v>25</v>
      </c>
      <c r="H35" s="3">
        <v>44930</v>
      </c>
      <c r="I35" s="1">
        <v>5817.6450000000004</v>
      </c>
      <c r="J35" s="1">
        <v>10030</v>
      </c>
      <c r="K35" s="1">
        <v>4212.3549999999996</v>
      </c>
      <c r="L35" s="1">
        <v>2348.7249999999999</v>
      </c>
      <c r="M35" s="1">
        <v>3990</v>
      </c>
      <c r="N35" s="1">
        <v>1641.2750000000001</v>
      </c>
      <c r="O35" s="1">
        <v>314</v>
      </c>
      <c r="P35" s="1">
        <v>1210</v>
      </c>
      <c r="Q35" s="1">
        <v>896</v>
      </c>
      <c r="R35" s="1">
        <v>530.83333333333337</v>
      </c>
      <c r="S35" s="1">
        <v>660</v>
      </c>
      <c r="T35" s="1">
        <v>129.16666666666663</v>
      </c>
      <c r="U35" s="1">
        <v>2500</v>
      </c>
      <c r="V35" s="1">
        <v>15890</v>
      </c>
      <c r="W35" s="1">
        <v>6878.7966666666662</v>
      </c>
      <c r="X35" s="1">
        <v>4378.7966666666662</v>
      </c>
      <c r="AB35" s="2" t="str">
        <f t="shared" si="0"/>
        <v>PASS</v>
      </c>
      <c r="AV35" s="1"/>
      <c r="AW35" s="1"/>
      <c r="AX35" s="1"/>
    </row>
    <row r="36" spans="1:50">
      <c r="A36" s="1" t="s">
        <v>66</v>
      </c>
      <c r="B36" s="1" t="s">
        <v>24</v>
      </c>
      <c r="C36" s="2">
        <v>46258.444162905093</v>
      </c>
      <c r="D36" s="2">
        <v>44932.032796111111</v>
      </c>
      <c r="E36" s="2">
        <v>46258.385574548614</v>
      </c>
      <c r="F36" s="1" t="s">
        <v>595</v>
      </c>
      <c r="G36" s="1" t="s">
        <v>25</v>
      </c>
      <c r="H36" s="3">
        <v>44931</v>
      </c>
      <c r="I36" s="1">
        <v>5741.0699999999988</v>
      </c>
      <c r="J36" s="1">
        <v>6975</v>
      </c>
      <c r="K36" s="1">
        <v>1233.9300000000012</v>
      </c>
      <c r="L36" s="1">
        <v>3265.3999999999996</v>
      </c>
      <c r="M36" s="1">
        <v>5670</v>
      </c>
      <c r="N36" s="1">
        <v>2404.6000000000004</v>
      </c>
      <c r="O36" s="1">
        <v>321.66000000000003</v>
      </c>
      <c r="P36" s="1">
        <v>1440</v>
      </c>
      <c r="Q36" s="1">
        <v>1118.3399999999999</v>
      </c>
      <c r="R36" s="1">
        <v>510.00000000000006</v>
      </c>
      <c r="S36" s="1">
        <v>630</v>
      </c>
      <c r="T36" s="1">
        <v>119.99999999999994</v>
      </c>
      <c r="U36" s="1">
        <v>2500</v>
      </c>
      <c r="V36" s="1">
        <v>14715</v>
      </c>
      <c r="W36" s="1">
        <v>4876.8700000000017</v>
      </c>
      <c r="X36" s="1">
        <v>2376.8700000000017</v>
      </c>
      <c r="AB36" s="2" t="str">
        <f t="shared" si="0"/>
        <v>PASS</v>
      </c>
      <c r="AV36" s="1"/>
      <c r="AW36" s="1"/>
      <c r="AX36" s="1"/>
    </row>
    <row r="37" spans="1:50">
      <c r="A37" s="1" t="s">
        <v>67</v>
      </c>
      <c r="B37" s="1" t="s">
        <v>24</v>
      </c>
      <c r="C37" s="2">
        <v>46258.444164409724</v>
      </c>
      <c r="D37" s="2">
        <v>44933.682202534721</v>
      </c>
      <c r="E37" s="2">
        <v>46258.385574629632</v>
      </c>
      <c r="F37" s="1" t="s">
        <v>595</v>
      </c>
      <c r="G37" s="1" t="s">
        <v>25</v>
      </c>
      <c r="H37" s="3">
        <v>44932</v>
      </c>
      <c r="I37" s="1">
        <v>6172.9800000000014</v>
      </c>
      <c r="J37" s="1">
        <v>9340</v>
      </c>
      <c r="K37" s="1">
        <v>3167.0199999999986</v>
      </c>
      <c r="L37" s="1">
        <v>2287.5999999999995</v>
      </c>
      <c r="M37" s="1">
        <v>3090</v>
      </c>
      <c r="N37" s="1">
        <v>802.40000000000043</v>
      </c>
      <c r="O37" s="1">
        <v>322</v>
      </c>
      <c r="P37" s="1">
        <v>1770</v>
      </c>
      <c r="Q37" s="1">
        <v>1448</v>
      </c>
      <c r="R37" s="1">
        <v>729.16666666666674</v>
      </c>
      <c r="S37" s="1">
        <v>910</v>
      </c>
      <c r="T37" s="1">
        <v>180.83333333333329</v>
      </c>
      <c r="U37" s="1">
        <v>2500</v>
      </c>
      <c r="V37" s="1">
        <v>15110</v>
      </c>
      <c r="W37" s="1">
        <v>5598.2533333333322</v>
      </c>
      <c r="X37" s="1">
        <v>3098.2533333333322</v>
      </c>
      <c r="AB37" s="2" t="str">
        <f t="shared" si="0"/>
        <v>PASS</v>
      </c>
      <c r="AV37" s="1"/>
      <c r="AW37" s="1"/>
      <c r="AX37" s="1"/>
    </row>
    <row r="38" spans="1:50">
      <c r="A38" s="1" t="s">
        <v>68</v>
      </c>
      <c r="B38" s="1" t="s">
        <v>24</v>
      </c>
      <c r="C38" s="2">
        <v>46258.444165879628</v>
      </c>
      <c r="D38" s="2">
        <v>44934.023850011574</v>
      </c>
      <c r="E38" s="2">
        <v>46258.38557471065</v>
      </c>
      <c r="F38" s="1" t="s">
        <v>595</v>
      </c>
      <c r="G38" s="1" t="s">
        <v>25</v>
      </c>
      <c r="H38" s="3">
        <v>44933</v>
      </c>
      <c r="I38" s="1">
        <v>7421.8499999999967</v>
      </c>
      <c r="J38" s="1">
        <v>10400</v>
      </c>
      <c r="K38" s="1">
        <v>2978.1500000000024</v>
      </c>
      <c r="L38" s="1">
        <v>3412.1499999999996</v>
      </c>
      <c r="M38" s="1">
        <v>5820</v>
      </c>
      <c r="N38" s="1">
        <v>2407.8500000000004</v>
      </c>
      <c r="O38" s="1">
        <v>202</v>
      </c>
      <c r="P38" s="1">
        <v>980</v>
      </c>
      <c r="Q38" s="1">
        <v>778</v>
      </c>
      <c r="R38" s="1">
        <v>810</v>
      </c>
      <c r="S38" s="1">
        <v>1000</v>
      </c>
      <c r="T38" s="1">
        <v>190</v>
      </c>
      <c r="U38" s="1">
        <v>2500</v>
      </c>
      <c r="V38" s="1">
        <v>18200</v>
      </c>
      <c r="W38" s="1">
        <v>6354.0000000000027</v>
      </c>
      <c r="X38" s="1">
        <v>3854.0000000000023</v>
      </c>
      <c r="AB38" s="2" t="str">
        <f t="shared" si="0"/>
        <v>PASS</v>
      </c>
      <c r="AV38" s="1"/>
      <c r="AW38" s="1"/>
      <c r="AX38" s="1"/>
    </row>
    <row r="39" spans="1:50">
      <c r="A39" s="1" t="s">
        <v>69</v>
      </c>
      <c r="B39" s="1" t="s">
        <v>24</v>
      </c>
      <c r="C39" s="2">
        <v>46258.444167199072</v>
      </c>
      <c r="D39" s="2">
        <v>44935.021238344911</v>
      </c>
      <c r="E39" s="2">
        <v>46258.385574791668</v>
      </c>
      <c r="F39" s="1" t="s">
        <v>595</v>
      </c>
      <c r="G39" s="1" t="s">
        <v>25</v>
      </c>
      <c r="H39" s="3">
        <v>44934</v>
      </c>
      <c r="I39" s="1">
        <v>5358.5650000000014</v>
      </c>
      <c r="J39" s="1">
        <v>8580</v>
      </c>
      <c r="K39" s="1">
        <v>3221.4349999999986</v>
      </c>
      <c r="L39" s="1">
        <v>2638.2</v>
      </c>
      <c r="M39" s="1">
        <v>4350</v>
      </c>
      <c r="N39" s="1">
        <v>1711.8000000000002</v>
      </c>
      <c r="O39" s="1">
        <v>294.81000000000006</v>
      </c>
      <c r="P39" s="1">
        <v>970</v>
      </c>
      <c r="Q39" s="1">
        <v>675.18999999999994</v>
      </c>
      <c r="R39" s="1">
        <v>884.99999999999989</v>
      </c>
      <c r="S39" s="1">
        <v>1100</v>
      </c>
      <c r="T39" s="1">
        <v>215.00000000000011</v>
      </c>
      <c r="U39" s="1">
        <v>2500</v>
      </c>
      <c r="V39" s="1">
        <v>15000</v>
      </c>
      <c r="W39" s="1">
        <v>5823.4249999999984</v>
      </c>
      <c r="X39" s="1">
        <v>3323.4249999999984</v>
      </c>
      <c r="AB39" s="2" t="str">
        <f t="shared" si="0"/>
        <v>PASS</v>
      </c>
      <c r="AV39" s="1"/>
      <c r="AW39" s="1"/>
      <c r="AX39" s="1"/>
    </row>
    <row r="40" spans="1:50">
      <c r="A40" s="1" t="s">
        <v>70</v>
      </c>
      <c r="B40" s="1" t="s">
        <v>24</v>
      </c>
      <c r="C40" s="2">
        <v>46258.444168993054</v>
      </c>
      <c r="D40" s="2">
        <v>44936.015616979166</v>
      </c>
      <c r="E40" s="2">
        <v>46258.385575208333</v>
      </c>
      <c r="F40" s="1" t="s">
        <v>595</v>
      </c>
      <c r="G40" s="1" t="s">
        <v>25</v>
      </c>
      <c r="H40" s="3">
        <v>44935</v>
      </c>
      <c r="I40" s="1">
        <v>5144.9779999999992</v>
      </c>
      <c r="J40" s="1">
        <v>6040</v>
      </c>
      <c r="K40" s="1">
        <v>895.02200000000084</v>
      </c>
      <c r="L40" s="1">
        <v>2063.15</v>
      </c>
      <c r="M40" s="1">
        <v>3510</v>
      </c>
      <c r="N40" s="1">
        <v>1446.85</v>
      </c>
      <c r="O40" s="1">
        <v>90</v>
      </c>
      <c r="P40" s="1">
        <v>250</v>
      </c>
      <c r="Q40" s="1">
        <v>160</v>
      </c>
      <c r="R40" s="1">
        <v>374.16666666666674</v>
      </c>
      <c r="S40" s="1">
        <v>470</v>
      </c>
      <c r="T40" s="1">
        <v>95.833333333333314</v>
      </c>
      <c r="U40" s="1">
        <v>2500</v>
      </c>
      <c r="V40" s="1">
        <v>10270</v>
      </c>
      <c r="W40" s="1">
        <v>2597.7053333333342</v>
      </c>
      <c r="X40" s="1">
        <v>97.705333333334238</v>
      </c>
      <c r="AB40" s="2" t="str">
        <f t="shared" si="0"/>
        <v>PASS</v>
      </c>
      <c r="AV40" s="1"/>
      <c r="AW40" s="1"/>
      <c r="AX40" s="1"/>
    </row>
    <row r="41" spans="1:50">
      <c r="A41" s="1" t="s">
        <v>71</v>
      </c>
      <c r="B41" s="1" t="s">
        <v>24</v>
      </c>
      <c r="C41" s="2">
        <v>46258.44417023148</v>
      </c>
      <c r="D41" s="2">
        <v>44937.056479189814</v>
      </c>
      <c r="E41" s="2">
        <v>46258.385575289351</v>
      </c>
      <c r="F41" s="1" t="s">
        <v>595</v>
      </c>
      <c r="G41" s="1" t="s">
        <v>25</v>
      </c>
      <c r="H41" s="3">
        <v>44936</v>
      </c>
      <c r="I41" s="1">
        <v>6131.4420000000018</v>
      </c>
      <c r="J41" s="1">
        <v>9070</v>
      </c>
      <c r="K41" s="1">
        <v>2938.5579999999982</v>
      </c>
      <c r="L41" s="1">
        <v>2943.45</v>
      </c>
      <c r="M41" s="1">
        <v>5250</v>
      </c>
      <c r="N41" s="1">
        <v>2306.5500000000002</v>
      </c>
      <c r="O41" s="1">
        <v>350.99599999999998</v>
      </c>
      <c r="P41" s="1">
        <v>720</v>
      </c>
      <c r="Q41" s="1">
        <v>369.00400000000002</v>
      </c>
      <c r="R41" s="1">
        <v>695</v>
      </c>
      <c r="S41" s="1">
        <v>860</v>
      </c>
      <c r="T41" s="1">
        <v>165</v>
      </c>
      <c r="U41" s="1">
        <v>2500</v>
      </c>
      <c r="V41" s="1">
        <v>15900</v>
      </c>
      <c r="W41" s="1">
        <v>5779.1119999999983</v>
      </c>
      <c r="X41" s="1">
        <v>3279.1119999999983</v>
      </c>
      <c r="AB41" s="2" t="str">
        <f t="shared" si="0"/>
        <v>PASS</v>
      </c>
      <c r="AV41" s="1"/>
      <c r="AW41" s="1"/>
      <c r="AX41" s="1"/>
    </row>
    <row r="42" spans="1:50">
      <c r="A42" s="1" t="s">
        <v>72</v>
      </c>
      <c r="B42" s="1" t="s">
        <v>24</v>
      </c>
      <c r="C42" s="2">
        <v>46258.444171400464</v>
      </c>
      <c r="D42" s="2">
        <v>44938.029205868057</v>
      </c>
      <c r="E42" s="2">
        <v>46258.38557539352</v>
      </c>
      <c r="F42" s="1" t="s">
        <v>595</v>
      </c>
      <c r="G42" s="1" t="s">
        <v>25</v>
      </c>
      <c r="H42" s="3">
        <v>44937</v>
      </c>
      <c r="I42" s="1">
        <v>4741.4029999999984</v>
      </c>
      <c r="J42" s="1">
        <v>7030</v>
      </c>
      <c r="K42" s="1">
        <v>2288.5970000000016</v>
      </c>
      <c r="L42" s="1">
        <v>1042</v>
      </c>
      <c r="M42" s="1">
        <v>1050</v>
      </c>
      <c r="N42" s="1">
        <v>8</v>
      </c>
      <c r="O42" s="1">
        <v>158</v>
      </c>
      <c r="P42" s="1">
        <v>920</v>
      </c>
      <c r="Q42" s="1">
        <v>762</v>
      </c>
      <c r="R42" s="1">
        <v>231.66666666666669</v>
      </c>
      <c r="S42" s="1">
        <v>290</v>
      </c>
      <c r="T42" s="1">
        <v>58.333333333333314</v>
      </c>
      <c r="U42" s="1">
        <v>2500</v>
      </c>
      <c r="V42" s="1">
        <v>9290</v>
      </c>
      <c r="W42" s="1">
        <v>3116.9303333333351</v>
      </c>
      <c r="X42" s="1">
        <v>616.93033333333506</v>
      </c>
      <c r="AB42" s="2" t="str">
        <f t="shared" si="0"/>
        <v>PASS</v>
      </c>
      <c r="AV42" s="1"/>
      <c r="AW42" s="1"/>
      <c r="AX42" s="1"/>
    </row>
    <row r="43" spans="1:50">
      <c r="A43" s="1" t="s">
        <v>73</v>
      </c>
      <c r="B43" s="1" t="s">
        <v>24</v>
      </c>
      <c r="C43" s="2">
        <v>46258.444172800926</v>
      </c>
      <c r="D43" s="2">
        <v>44939.022775532409</v>
      </c>
      <c r="E43" s="2">
        <v>46258.385575497683</v>
      </c>
      <c r="F43" s="1" t="s">
        <v>595</v>
      </c>
      <c r="G43" s="1" t="s">
        <v>25</v>
      </c>
      <c r="H43" s="3">
        <v>44938</v>
      </c>
      <c r="I43" s="1">
        <v>5156.2999999999993</v>
      </c>
      <c r="J43" s="1">
        <v>7010</v>
      </c>
      <c r="K43" s="1">
        <v>1853.7000000000007</v>
      </c>
      <c r="L43" s="1">
        <v>1793.4499999999996</v>
      </c>
      <c r="M43" s="1">
        <v>2520</v>
      </c>
      <c r="N43" s="1">
        <v>726.55000000000052</v>
      </c>
      <c r="O43" s="1">
        <v>410.32400000000001</v>
      </c>
      <c r="P43" s="1">
        <v>1080</v>
      </c>
      <c r="Q43" s="1">
        <v>669.67599999999993</v>
      </c>
      <c r="R43" s="1">
        <v>585.83333333333337</v>
      </c>
      <c r="S43" s="1">
        <v>720</v>
      </c>
      <c r="T43" s="1">
        <v>134.16666666666663</v>
      </c>
      <c r="U43" s="1">
        <v>2500</v>
      </c>
      <c r="V43" s="1">
        <v>11330</v>
      </c>
      <c r="W43" s="1">
        <v>3384.0926666666674</v>
      </c>
      <c r="X43" s="1">
        <v>884.09266666666736</v>
      </c>
      <c r="AB43" s="2" t="str">
        <f t="shared" si="0"/>
        <v>PASS</v>
      </c>
      <c r="AV43" s="1"/>
      <c r="AW43" s="1"/>
      <c r="AX43" s="1"/>
    </row>
    <row r="44" spans="1:50">
      <c r="A44" s="1" t="s">
        <v>74</v>
      </c>
      <c r="B44" s="1" t="s">
        <v>24</v>
      </c>
      <c r="C44" s="2">
        <v>46258.444174201388</v>
      </c>
      <c r="D44" s="2">
        <v>44940.018116157407</v>
      </c>
      <c r="E44" s="2">
        <v>46258.385575613429</v>
      </c>
      <c r="F44" s="1" t="s">
        <v>595</v>
      </c>
      <c r="G44" s="1" t="s">
        <v>25</v>
      </c>
      <c r="H44" s="3">
        <v>44939</v>
      </c>
      <c r="I44" s="1">
        <v>4555.5209999999997</v>
      </c>
      <c r="J44" s="1">
        <v>5760</v>
      </c>
      <c r="K44" s="1">
        <v>1204.4790000000005</v>
      </c>
      <c r="L44" s="1">
        <v>1930.55</v>
      </c>
      <c r="M44" s="1">
        <v>2730</v>
      </c>
      <c r="N44" s="1">
        <v>799.45</v>
      </c>
      <c r="O44" s="1">
        <v>58</v>
      </c>
      <c r="P44" s="1">
        <v>370</v>
      </c>
      <c r="Q44" s="1">
        <v>312</v>
      </c>
      <c r="R44" s="1">
        <v>197.5</v>
      </c>
      <c r="S44" s="1">
        <v>240</v>
      </c>
      <c r="T44" s="1">
        <v>42.5</v>
      </c>
      <c r="U44" s="1">
        <v>2500</v>
      </c>
      <c r="V44" s="1">
        <v>9100</v>
      </c>
      <c r="W44" s="1">
        <v>2358.4290000000001</v>
      </c>
      <c r="X44" s="1">
        <v>-141.57099999999991</v>
      </c>
      <c r="AB44" s="2" t="str">
        <f t="shared" si="0"/>
        <v>PASS</v>
      </c>
      <c r="AV44" s="1"/>
      <c r="AW44" s="1"/>
      <c r="AX44" s="1"/>
    </row>
    <row r="45" spans="1:50">
      <c r="A45" s="1" t="s">
        <v>75</v>
      </c>
      <c r="B45" s="1" t="s">
        <v>24</v>
      </c>
      <c r="C45" s="2">
        <v>46258.444175509256</v>
      </c>
      <c r="D45" s="2">
        <v>44941.006017673608</v>
      </c>
      <c r="E45" s="2">
        <v>46258.385575717592</v>
      </c>
      <c r="F45" s="1" t="s">
        <v>595</v>
      </c>
      <c r="G45" s="1" t="s">
        <v>25</v>
      </c>
      <c r="H45" s="3">
        <v>44940</v>
      </c>
      <c r="I45" s="1">
        <v>4412.7340000000022</v>
      </c>
      <c r="J45" s="1">
        <v>7750</v>
      </c>
      <c r="K45" s="1">
        <v>3337.2659999999978</v>
      </c>
      <c r="L45" s="1">
        <v>2063.2399999999998</v>
      </c>
      <c r="M45" s="1">
        <v>3360</v>
      </c>
      <c r="N45" s="1">
        <v>1296.7599999999998</v>
      </c>
      <c r="O45" s="1">
        <v>90</v>
      </c>
      <c r="P45" s="1">
        <v>250</v>
      </c>
      <c r="Q45" s="1">
        <v>160</v>
      </c>
      <c r="R45" s="1">
        <v>470</v>
      </c>
      <c r="S45" s="1">
        <v>590</v>
      </c>
      <c r="T45" s="1">
        <v>120</v>
      </c>
      <c r="U45" s="1">
        <v>2500</v>
      </c>
      <c r="V45" s="1">
        <v>11950</v>
      </c>
      <c r="W45" s="1">
        <v>4914.025999999998</v>
      </c>
      <c r="X45" s="1">
        <v>2414.025999999998</v>
      </c>
      <c r="AB45" s="2" t="str">
        <f t="shared" si="0"/>
        <v>PASS</v>
      </c>
      <c r="AV45" s="1"/>
      <c r="AW45" s="1"/>
      <c r="AX45" s="1"/>
    </row>
    <row r="46" spans="1:50">
      <c r="A46" s="1" t="s">
        <v>76</v>
      </c>
      <c r="B46" s="1" t="s">
        <v>24</v>
      </c>
      <c r="C46" s="2">
        <v>46258.444177395832</v>
      </c>
      <c r="D46" s="2">
        <v>44942.043364884259</v>
      </c>
      <c r="E46" s="2">
        <v>46258.385575914355</v>
      </c>
      <c r="F46" s="1" t="s">
        <v>595</v>
      </c>
      <c r="G46" s="1" t="s">
        <v>25</v>
      </c>
      <c r="H46" s="3">
        <v>44941</v>
      </c>
      <c r="I46" s="1">
        <v>5717.5509999999995</v>
      </c>
      <c r="J46" s="1">
        <v>8070</v>
      </c>
      <c r="K46" s="1">
        <v>2352.4490000000005</v>
      </c>
      <c r="L46" s="1">
        <v>980.46</v>
      </c>
      <c r="M46" s="1">
        <v>1680</v>
      </c>
      <c r="N46" s="1">
        <v>699.54000000000008</v>
      </c>
      <c r="O46" s="1">
        <v>276.83000000000004</v>
      </c>
      <c r="P46" s="1">
        <v>990</v>
      </c>
      <c r="Q46" s="1">
        <v>713.17</v>
      </c>
      <c r="R46" s="1">
        <v>251.66666666666669</v>
      </c>
      <c r="S46" s="1">
        <v>330</v>
      </c>
      <c r="T46" s="1">
        <v>78.333333333333314</v>
      </c>
      <c r="U46" s="1">
        <v>2500</v>
      </c>
      <c r="V46" s="1">
        <v>11070</v>
      </c>
      <c r="W46" s="1">
        <v>3843.492333333334</v>
      </c>
      <c r="X46" s="1">
        <v>1343.492333333334</v>
      </c>
      <c r="AB46" s="2" t="str">
        <f t="shared" si="0"/>
        <v>PASS</v>
      </c>
      <c r="AV46" s="1"/>
      <c r="AW46" s="1"/>
      <c r="AX46" s="1"/>
    </row>
    <row r="47" spans="1:50">
      <c r="A47" s="1" t="s">
        <v>77</v>
      </c>
      <c r="B47" s="1" t="s">
        <v>24</v>
      </c>
      <c r="C47" s="2">
        <v>46258.444178622682</v>
      </c>
      <c r="D47" s="2">
        <v>44943.029663981484</v>
      </c>
      <c r="E47" s="2">
        <v>46258.38557604167</v>
      </c>
      <c r="F47" s="1" t="s">
        <v>595</v>
      </c>
      <c r="G47" s="1" t="s">
        <v>25</v>
      </c>
      <c r="H47" s="3">
        <v>44942</v>
      </c>
      <c r="I47" s="1">
        <v>4671.5300000000016</v>
      </c>
      <c r="J47" s="1">
        <v>8010</v>
      </c>
      <c r="K47" s="1">
        <v>3338.4699999999984</v>
      </c>
      <c r="L47" s="1">
        <v>1973.64</v>
      </c>
      <c r="M47" s="1">
        <v>3360</v>
      </c>
      <c r="N47" s="1">
        <v>1386.36</v>
      </c>
      <c r="O47" s="1">
        <v>271.66000000000003</v>
      </c>
      <c r="P47" s="1">
        <v>800</v>
      </c>
      <c r="Q47" s="1">
        <v>528.33999999999992</v>
      </c>
      <c r="R47" s="1">
        <v>919.16666666666652</v>
      </c>
      <c r="S47" s="1">
        <v>990</v>
      </c>
      <c r="T47" s="1">
        <v>70.833333333333371</v>
      </c>
      <c r="U47" s="1">
        <v>2500</v>
      </c>
      <c r="V47" s="1">
        <v>13160</v>
      </c>
      <c r="W47" s="1">
        <v>5324.0033333333313</v>
      </c>
      <c r="X47" s="1">
        <v>2824.0033333333313</v>
      </c>
      <c r="AB47" s="2" t="str">
        <f t="shared" si="0"/>
        <v>PASS</v>
      </c>
      <c r="AV47" s="1"/>
      <c r="AW47" s="1"/>
      <c r="AX47" s="1"/>
    </row>
    <row r="48" spans="1:50">
      <c r="A48" s="1" t="s">
        <v>78</v>
      </c>
      <c r="B48" s="1" t="s">
        <v>24</v>
      </c>
      <c r="C48" s="2">
        <v>46258.444179814818</v>
      </c>
      <c r="D48" s="2">
        <v>46256.363055578702</v>
      </c>
      <c r="E48" s="2">
        <v>46258.385576157409</v>
      </c>
      <c r="F48" s="1" t="s">
        <v>595</v>
      </c>
      <c r="G48" s="1" t="s">
        <v>25</v>
      </c>
      <c r="H48" s="3">
        <v>44943</v>
      </c>
      <c r="I48" s="1">
        <v>4893.8</v>
      </c>
      <c r="J48" s="1">
        <v>7000</v>
      </c>
      <c r="K48" s="1">
        <v>2106.1999999999998</v>
      </c>
      <c r="L48" s="1">
        <v>1371.85</v>
      </c>
      <c r="M48" s="1">
        <v>2520</v>
      </c>
      <c r="N48" s="1">
        <v>1148.1500000000001</v>
      </c>
      <c r="O48" s="1">
        <v>202</v>
      </c>
      <c r="P48" s="1">
        <v>960</v>
      </c>
      <c r="Q48" s="1">
        <v>758</v>
      </c>
      <c r="R48" s="1">
        <v>421.66666666666674</v>
      </c>
      <c r="S48" s="1">
        <v>520</v>
      </c>
      <c r="T48" s="1">
        <v>98.333333333333314</v>
      </c>
      <c r="U48" s="1">
        <v>2500</v>
      </c>
      <c r="V48" s="1">
        <v>11000</v>
      </c>
      <c r="W48" s="1">
        <v>4110.6833333333334</v>
      </c>
      <c r="X48" s="1">
        <v>1610.6833333333334</v>
      </c>
      <c r="AB48" s="2" t="str">
        <f t="shared" si="0"/>
        <v>PASS</v>
      </c>
      <c r="AV48" s="1"/>
      <c r="AW48" s="1"/>
      <c r="AX48" s="1"/>
    </row>
    <row r="49" spans="1:50">
      <c r="A49" s="1" t="s">
        <v>79</v>
      </c>
      <c r="B49" s="1" t="s">
        <v>24</v>
      </c>
      <c r="C49" s="2">
        <v>46258.444181192128</v>
      </c>
      <c r="D49" s="2">
        <v>46256.363161331021</v>
      </c>
      <c r="E49" s="2">
        <v>46258.385576365741</v>
      </c>
      <c r="F49" s="1" t="s">
        <v>595</v>
      </c>
      <c r="G49" s="1" t="s">
        <v>25</v>
      </c>
      <c r="H49" s="3">
        <v>44944</v>
      </c>
      <c r="I49" s="1">
        <v>5484.4500000000007</v>
      </c>
      <c r="J49" s="1">
        <v>6110</v>
      </c>
      <c r="K49" s="1">
        <v>625.54999999999927</v>
      </c>
      <c r="L49" s="1">
        <v>1698.4599999999998</v>
      </c>
      <c r="M49" s="1">
        <v>2730</v>
      </c>
      <c r="N49" s="1">
        <v>1031.5400000000002</v>
      </c>
      <c r="O49" s="1">
        <v>174</v>
      </c>
      <c r="P49" s="1">
        <v>1110</v>
      </c>
      <c r="Q49" s="1">
        <v>936</v>
      </c>
      <c r="R49" s="1">
        <v>899.16666666666674</v>
      </c>
      <c r="S49" s="1">
        <v>1110</v>
      </c>
      <c r="T49" s="1">
        <v>210.83333333333329</v>
      </c>
      <c r="U49" s="1">
        <v>2500</v>
      </c>
      <c r="V49" s="1">
        <v>11060</v>
      </c>
      <c r="W49" s="1">
        <v>2803.9233333333323</v>
      </c>
      <c r="X49" s="1">
        <v>303.92333333333227</v>
      </c>
      <c r="AB49" s="2" t="str">
        <f t="shared" si="0"/>
        <v>PASS</v>
      </c>
      <c r="AV49" s="1"/>
      <c r="AW49" s="1"/>
      <c r="AX49" s="1"/>
    </row>
    <row r="50" spans="1:50">
      <c r="A50" s="1" t="s">
        <v>80</v>
      </c>
      <c r="B50" s="1" t="s">
        <v>24</v>
      </c>
      <c r="C50" s="2">
        <v>46258.444182326391</v>
      </c>
      <c r="D50" s="2">
        <v>46256.363302233796</v>
      </c>
      <c r="E50" s="2">
        <v>46258.38557658565</v>
      </c>
      <c r="F50" s="1" t="s">
        <v>595</v>
      </c>
      <c r="G50" s="1" t="s">
        <v>25</v>
      </c>
      <c r="H50" s="3">
        <v>44945</v>
      </c>
      <c r="I50" s="1">
        <v>3932.0000000000009</v>
      </c>
      <c r="J50" s="1">
        <v>7240</v>
      </c>
      <c r="K50" s="1">
        <v>3307.9999999999995</v>
      </c>
      <c r="L50" s="1">
        <v>2565.6</v>
      </c>
      <c r="M50" s="1">
        <v>4620</v>
      </c>
      <c r="N50" s="1">
        <v>2054.4</v>
      </c>
      <c r="O50" s="1">
        <v>179.5</v>
      </c>
      <c r="P50" s="1">
        <v>730</v>
      </c>
      <c r="Q50" s="1">
        <v>550.5</v>
      </c>
      <c r="R50" s="1">
        <v>496.66666666666674</v>
      </c>
      <c r="S50" s="1">
        <v>610</v>
      </c>
      <c r="T50" s="1">
        <v>113.33333333333331</v>
      </c>
      <c r="U50" s="1">
        <v>2500</v>
      </c>
      <c r="V50" s="1">
        <v>13200</v>
      </c>
      <c r="W50" s="1">
        <v>6026.2333333333327</v>
      </c>
      <c r="X50" s="1">
        <v>3526.2333333333327</v>
      </c>
      <c r="AB50" s="2" t="str">
        <f t="shared" si="0"/>
        <v>PASS</v>
      </c>
      <c r="AV50" s="1"/>
      <c r="AW50" s="1"/>
      <c r="AX50" s="1"/>
    </row>
    <row r="51" spans="1:50">
      <c r="A51" s="1" t="s">
        <v>81</v>
      </c>
      <c r="B51" s="1" t="s">
        <v>24</v>
      </c>
      <c r="C51" s="2">
        <v>46258.444183506945</v>
      </c>
      <c r="D51" s="2">
        <v>44947.011279189814</v>
      </c>
      <c r="E51" s="2">
        <v>46258.385576736109</v>
      </c>
      <c r="F51" s="1" t="s">
        <v>595</v>
      </c>
      <c r="G51" s="1" t="s">
        <v>25</v>
      </c>
      <c r="H51" s="3">
        <v>44946</v>
      </c>
      <c r="I51" s="1">
        <v>5360.0399999999991</v>
      </c>
      <c r="J51" s="1">
        <v>8285</v>
      </c>
      <c r="K51" s="1">
        <v>2924.9600000000009</v>
      </c>
      <c r="L51" s="1">
        <v>2823.6</v>
      </c>
      <c r="M51" s="1">
        <v>4410</v>
      </c>
      <c r="N51" s="1">
        <v>1586.4</v>
      </c>
      <c r="O51" s="1">
        <v>367.15999999999997</v>
      </c>
      <c r="P51" s="1">
        <v>1510</v>
      </c>
      <c r="Q51" s="1">
        <v>1142.8400000000001</v>
      </c>
      <c r="R51" s="1">
        <v>653.33333333333337</v>
      </c>
      <c r="S51" s="1">
        <v>820</v>
      </c>
      <c r="T51" s="1">
        <v>166.66666666666663</v>
      </c>
      <c r="U51" s="1">
        <v>2500</v>
      </c>
      <c r="V51" s="1">
        <v>15025</v>
      </c>
      <c r="W51" s="1">
        <v>5820.8666666666677</v>
      </c>
      <c r="X51" s="1">
        <v>3320.8666666666677</v>
      </c>
      <c r="AB51" s="2" t="str">
        <f t="shared" si="0"/>
        <v>PASS</v>
      </c>
      <c r="AV51" s="1"/>
      <c r="AW51" s="1"/>
      <c r="AX51" s="1"/>
    </row>
    <row r="52" spans="1:50">
      <c r="A52" s="1" t="s">
        <v>82</v>
      </c>
      <c r="B52" s="1" t="s">
        <v>24</v>
      </c>
      <c r="C52" s="2">
        <v>46258.444184664353</v>
      </c>
      <c r="D52" s="2">
        <v>44947.997250081018</v>
      </c>
      <c r="E52" s="2">
        <v>46258.385577013891</v>
      </c>
      <c r="F52" s="1" t="s">
        <v>595</v>
      </c>
      <c r="G52" s="1" t="s">
        <v>25</v>
      </c>
      <c r="H52" s="3">
        <v>44947</v>
      </c>
      <c r="I52" s="1">
        <v>4639.0300000000016</v>
      </c>
      <c r="J52" s="1">
        <v>5910</v>
      </c>
      <c r="K52" s="1">
        <v>1270.9699999999984</v>
      </c>
      <c r="L52" s="1">
        <v>1596.9499999999996</v>
      </c>
      <c r="M52" s="1">
        <v>2520</v>
      </c>
      <c r="N52" s="1">
        <v>923.05000000000052</v>
      </c>
      <c r="O52" s="1">
        <v>280.5</v>
      </c>
      <c r="P52" s="1">
        <v>770</v>
      </c>
      <c r="Q52" s="1">
        <v>489.5</v>
      </c>
      <c r="R52" s="1">
        <v>400.83333333333337</v>
      </c>
      <c r="S52" s="1">
        <v>500</v>
      </c>
      <c r="T52" s="1">
        <v>99.166666666666629</v>
      </c>
      <c r="U52" s="1">
        <v>2500</v>
      </c>
      <c r="V52" s="1">
        <v>9700</v>
      </c>
      <c r="W52" s="1">
        <v>2782.6866666666651</v>
      </c>
      <c r="X52" s="1">
        <v>282.68666666666513</v>
      </c>
      <c r="AB52" s="2" t="str">
        <f t="shared" si="0"/>
        <v>PASS</v>
      </c>
      <c r="AV52" s="1"/>
      <c r="AW52" s="1"/>
      <c r="AX52" s="1"/>
    </row>
    <row r="53" spans="1:50">
      <c r="A53" s="1" t="s">
        <v>83</v>
      </c>
      <c r="B53" s="1" t="s">
        <v>24</v>
      </c>
      <c r="C53" s="2">
        <v>46258.44418619213</v>
      </c>
      <c r="D53" s="2">
        <v>44949.05042983796</v>
      </c>
      <c r="E53" s="2">
        <v>46258.385577129629</v>
      </c>
      <c r="F53" s="1" t="s">
        <v>595</v>
      </c>
      <c r="G53" s="1" t="s">
        <v>25</v>
      </c>
      <c r="H53" s="3">
        <v>44948</v>
      </c>
      <c r="I53" s="1">
        <v>5437.3449999999993</v>
      </c>
      <c r="J53" s="1">
        <v>7150</v>
      </c>
      <c r="K53" s="1">
        <v>1712.6550000000009</v>
      </c>
      <c r="L53" s="1">
        <v>1062.5500000000002</v>
      </c>
      <c r="M53" s="1">
        <v>1680</v>
      </c>
      <c r="N53" s="1">
        <v>617.44999999999982</v>
      </c>
      <c r="O53" s="1">
        <v>271.66000000000003</v>
      </c>
      <c r="P53" s="1">
        <v>550</v>
      </c>
      <c r="Q53" s="1">
        <v>278.33999999999997</v>
      </c>
      <c r="R53" s="1">
        <v>612.5</v>
      </c>
      <c r="S53" s="1">
        <v>760</v>
      </c>
      <c r="T53" s="1">
        <v>147.5</v>
      </c>
      <c r="U53" s="1">
        <v>2500</v>
      </c>
      <c r="V53" s="1">
        <v>10140</v>
      </c>
      <c r="W53" s="1">
        <v>2755.9450000000006</v>
      </c>
      <c r="X53" s="1">
        <v>255.94500000000065</v>
      </c>
      <c r="AB53" s="2" t="str">
        <f t="shared" si="0"/>
        <v>PASS</v>
      </c>
      <c r="AV53" s="1"/>
      <c r="AW53" s="1"/>
      <c r="AX53" s="1"/>
    </row>
    <row r="54" spans="1:50">
      <c r="A54" s="1" t="s">
        <v>84</v>
      </c>
      <c r="B54" s="1" t="s">
        <v>24</v>
      </c>
      <c r="C54" s="2">
        <v>46258.444187280096</v>
      </c>
      <c r="D54" s="2">
        <v>44950.026890347224</v>
      </c>
      <c r="E54" s="2">
        <v>46258.385577233799</v>
      </c>
      <c r="F54" s="1" t="s">
        <v>595</v>
      </c>
      <c r="G54" s="1" t="s">
        <v>25</v>
      </c>
      <c r="H54" s="3">
        <v>44949</v>
      </c>
      <c r="I54" s="1">
        <v>4562.2700000000004</v>
      </c>
      <c r="J54" s="1">
        <v>6700</v>
      </c>
      <c r="K54" s="1">
        <v>2137.7299999999996</v>
      </c>
      <c r="L54" s="1">
        <v>200.99999999999983</v>
      </c>
      <c r="M54" s="1">
        <v>420</v>
      </c>
      <c r="N54" s="1">
        <v>219.00000000000017</v>
      </c>
      <c r="O54" s="1">
        <v>174</v>
      </c>
      <c r="P54" s="1">
        <v>610</v>
      </c>
      <c r="Q54" s="1">
        <v>436</v>
      </c>
      <c r="R54" s="1">
        <v>190.83333333333337</v>
      </c>
      <c r="S54" s="1">
        <v>230</v>
      </c>
      <c r="T54" s="1">
        <v>39.166666666666657</v>
      </c>
      <c r="U54" s="1">
        <v>2500</v>
      </c>
      <c r="V54" s="1">
        <v>7960</v>
      </c>
      <c r="W54" s="1">
        <v>2831.8966666666661</v>
      </c>
      <c r="X54" s="1">
        <v>331.89666666666608</v>
      </c>
      <c r="AB54" s="2" t="str">
        <f t="shared" si="0"/>
        <v>PASS</v>
      </c>
      <c r="AV54" s="1"/>
      <c r="AW54" s="1"/>
      <c r="AX54" s="1"/>
    </row>
    <row r="55" spans="1:50">
      <c r="A55" s="1" t="s">
        <v>85</v>
      </c>
      <c r="B55" s="1" t="s">
        <v>24</v>
      </c>
      <c r="C55" s="2">
        <v>46258.444188796297</v>
      </c>
      <c r="D55" s="2">
        <v>44951.038001365741</v>
      </c>
      <c r="E55" s="2">
        <v>46258.385577337962</v>
      </c>
      <c r="F55" s="1" t="s">
        <v>595</v>
      </c>
      <c r="G55" s="1" t="s">
        <v>25</v>
      </c>
      <c r="H55" s="3">
        <v>44950</v>
      </c>
      <c r="I55" s="1">
        <v>4039.37</v>
      </c>
      <c r="J55" s="1">
        <v>6990</v>
      </c>
      <c r="K55" s="1">
        <v>2950.6299999999997</v>
      </c>
      <c r="L55" s="1">
        <v>1640.55</v>
      </c>
      <c r="M55" s="1">
        <v>2520</v>
      </c>
      <c r="N55" s="1">
        <v>879.45</v>
      </c>
      <c r="O55" s="1">
        <v>146</v>
      </c>
      <c r="P55" s="1">
        <v>490</v>
      </c>
      <c r="Q55" s="1">
        <v>344</v>
      </c>
      <c r="R55" s="1">
        <v>441.66666666666674</v>
      </c>
      <c r="S55" s="1">
        <v>550</v>
      </c>
      <c r="T55" s="1">
        <v>108.33333333333331</v>
      </c>
      <c r="U55" s="1">
        <v>2500</v>
      </c>
      <c r="V55" s="1">
        <v>10550</v>
      </c>
      <c r="W55" s="1">
        <v>4282.413333333333</v>
      </c>
      <c r="X55" s="1">
        <v>1782.413333333333</v>
      </c>
      <c r="AB55" s="2" t="str">
        <f t="shared" si="0"/>
        <v>PASS</v>
      </c>
      <c r="AV55" s="1"/>
      <c r="AW55" s="1"/>
      <c r="AX55" s="1"/>
    </row>
    <row r="56" spans="1:50">
      <c r="A56" s="1" t="s">
        <v>86</v>
      </c>
      <c r="B56" s="1" t="s">
        <v>24</v>
      </c>
      <c r="C56" s="2">
        <v>46258.444190405091</v>
      </c>
      <c r="D56" s="2">
        <v>44952.024171134261</v>
      </c>
      <c r="E56" s="2">
        <v>46258.385577407411</v>
      </c>
      <c r="F56" s="1" t="s">
        <v>595</v>
      </c>
      <c r="G56" s="1" t="s">
        <v>25</v>
      </c>
      <c r="H56" s="3">
        <v>44951</v>
      </c>
      <c r="I56" s="1">
        <v>4935.4549999999999</v>
      </c>
      <c r="J56" s="1">
        <v>7680</v>
      </c>
      <c r="K56" s="1">
        <v>2744.5450000000001</v>
      </c>
      <c r="L56" s="1">
        <v>2101.35</v>
      </c>
      <c r="M56" s="1">
        <v>1660</v>
      </c>
      <c r="N56" s="1">
        <v>-441.34999999999991</v>
      </c>
      <c r="O56" s="1">
        <v>202</v>
      </c>
      <c r="P56" s="1">
        <v>980</v>
      </c>
      <c r="Q56" s="1">
        <v>778</v>
      </c>
      <c r="R56" s="1">
        <v>504.16666666666674</v>
      </c>
      <c r="S56" s="1">
        <v>630</v>
      </c>
      <c r="T56" s="1">
        <v>125.83333333333331</v>
      </c>
      <c r="U56" s="1">
        <v>2500</v>
      </c>
      <c r="V56" s="1">
        <v>10950</v>
      </c>
      <c r="W56" s="1">
        <v>3207.0283333333336</v>
      </c>
      <c r="X56" s="1">
        <v>707.02833333333365</v>
      </c>
      <c r="AB56" s="2" t="str">
        <f t="shared" si="0"/>
        <v>PASS</v>
      </c>
      <c r="AV56" s="1"/>
      <c r="AW56" s="1"/>
      <c r="AX56" s="1"/>
    </row>
    <row r="57" spans="1:50">
      <c r="A57" s="1" t="s">
        <v>87</v>
      </c>
      <c r="B57" s="1" t="s">
        <v>24</v>
      </c>
      <c r="C57" s="2">
        <v>46258.444191782408</v>
      </c>
      <c r="D57" s="2">
        <v>44953.015798391207</v>
      </c>
      <c r="E57" s="2">
        <v>46258.385577499997</v>
      </c>
      <c r="F57" s="1" t="s">
        <v>595</v>
      </c>
      <c r="G57" s="1" t="s">
        <v>25</v>
      </c>
      <c r="H57" s="3">
        <v>44952</v>
      </c>
      <c r="I57" s="1">
        <v>5320.2149999999983</v>
      </c>
      <c r="J57" s="1">
        <v>6840</v>
      </c>
      <c r="K57" s="1">
        <v>1519.7850000000017</v>
      </c>
      <c r="L57" s="1">
        <v>2082.8000000000002</v>
      </c>
      <c r="M57" s="1">
        <v>3570</v>
      </c>
      <c r="N57" s="1">
        <v>1487.1999999999998</v>
      </c>
      <c r="O57" s="1">
        <v>163</v>
      </c>
      <c r="P57" s="1">
        <v>420</v>
      </c>
      <c r="Q57" s="1">
        <v>257</v>
      </c>
      <c r="R57" s="1">
        <v>571.66666666666663</v>
      </c>
      <c r="S57" s="1">
        <v>720</v>
      </c>
      <c r="T57" s="1">
        <v>148.33333333333337</v>
      </c>
      <c r="U57" s="1">
        <v>2500</v>
      </c>
      <c r="V57" s="1">
        <v>11550</v>
      </c>
      <c r="W57" s="1">
        <v>3412.318333333335</v>
      </c>
      <c r="X57" s="1">
        <v>912.31833333333509</v>
      </c>
      <c r="AB57" s="2" t="str">
        <f t="shared" si="0"/>
        <v>PASS</v>
      </c>
      <c r="AV57" s="1"/>
      <c r="AW57" s="1"/>
      <c r="AX57" s="1"/>
    </row>
    <row r="58" spans="1:50">
      <c r="A58" s="1" t="s">
        <v>88</v>
      </c>
      <c r="B58" s="1" t="s">
        <v>24</v>
      </c>
      <c r="C58" s="2">
        <v>46258.444193703705</v>
      </c>
      <c r="D58" s="2">
        <v>44954.029109594907</v>
      </c>
      <c r="E58" s="2">
        <v>46258.385577673609</v>
      </c>
      <c r="F58" s="1" t="s">
        <v>595</v>
      </c>
      <c r="G58" s="1" t="s">
        <v>25</v>
      </c>
      <c r="H58" s="3">
        <v>44953</v>
      </c>
      <c r="I58" s="1">
        <v>6015.9100000000017</v>
      </c>
      <c r="J58" s="1">
        <v>7720</v>
      </c>
      <c r="K58" s="1">
        <v>1704.0899999999983</v>
      </c>
      <c r="L58" s="1">
        <v>1784.7</v>
      </c>
      <c r="M58" s="1">
        <v>2730</v>
      </c>
      <c r="N58" s="1">
        <v>945.3</v>
      </c>
      <c r="O58" s="1">
        <v>236.83</v>
      </c>
      <c r="P58" s="1">
        <v>470</v>
      </c>
      <c r="Q58" s="1">
        <v>233.17</v>
      </c>
      <c r="R58" s="1">
        <v>469.16666666666674</v>
      </c>
      <c r="S58" s="1">
        <v>580</v>
      </c>
      <c r="T58" s="1">
        <v>110.83333333333331</v>
      </c>
      <c r="U58" s="1">
        <v>2500</v>
      </c>
      <c r="V58" s="1">
        <v>11500</v>
      </c>
      <c r="W58" s="1">
        <v>2993.3933333333321</v>
      </c>
      <c r="X58" s="1">
        <v>493.39333333333207</v>
      </c>
      <c r="AB58" s="2" t="str">
        <f t="shared" si="0"/>
        <v>PASS</v>
      </c>
      <c r="AV58" s="1"/>
      <c r="AW58" s="1"/>
      <c r="AX58" s="1"/>
    </row>
    <row r="59" spans="1:50">
      <c r="A59" s="1" t="s">
        <v>89</v>
      </c>
      <c r="B59" s="1" t="s">
        <v>24</v>
      </c>
      <c r="C59" s="2">
        <v>46258.444195358796</v>
      </c>
      <c r="D59" s="2">
        <v>44955.016340127317</v>
      </c>
      <c r="E59" s="2">
        <v>46258.385577743058</v>
      </c>
      <c r="F59" s="1" t="s">
        <v>595</v>
      </c>
      <c r="G59" s="1" t="s">
        <v>25</v>
      </c>
      <c r="H59" s="3">
        <v>44954</v>
      </c>
      <c r="I59" s="1">
        <v>4765.75</v>
      </c>
      <c r="J59" s="1">
        <v>6200</v>
      </c>
      <c r="K59" s="1">
        <v>1434.25</v>
      </c>
      <c r="L59" s="1">
        <v>896.25000000000011</v>
      </c>
      <c r="M59" s="1">
        <v>1470</v>
      </c>
      <c r="N59" s="1">
        <v>573.74999999999989</v>
      </c>
      <c r="O59" s="1">
        <v>174</v>
      </c>
      <c r="P59" s="1">
        <v>610</v>
      </c>
      <c r="Q59" s="1">
        <v>436</v>
      </c>
      <c r="R59" s="1">
        <v>483.33333333333337</v>
      </c>
      <c r="S59" s="1">
        <v>590</v>
      </c>
      <c r="T59" s="1">
        <v>106.66666666666664</v>
      </c>
      <c r="U59" s="1">
        <v>2500</v>
      </c>
      <c r="V59" s="1">
        <v>8870</v>
      </c>
      <c r="W59" s="1">
        <v>2550.6666666666665</v>
      </c>
      <c r="X59" s="1">
        <v>50.666666666666515</v>
      </c>
      <c r="AB59" s="2" t="str">
        <f t="shared" si="0"/>
        <v>PASS</v>
      </c>
      <c r="AV59" s="1"/>
      <c r="AW59" s="1"/>
      <c r="AX59" s="1"/>
    </row>
    <row r="60" spans="1:50">
      <c r="A60" s="1" t="s">
        <v>90</v>
      </c>
      <c r="B60" s="1" t="s">
        <v>24</v>
      </c>
      <c r="C60" s="2">
        <v>46258.444196944445</v>
      </c>
      <c r="D60" s="2">
        <v>44956.023543506948</v>
      </c>
      <c r="E60" s="2">
        <v>46258.385577800924</v>
      </c>
      <c r="F60" s="1" t="s">
        <v>595</v>
      </c>
      <c r="G60" s="1" t="s">
        <v>25</v>
      </c>
      <c r="H60" s="3">
        <v>44955</v>
      </c>
      <c r="I60" s="1">
        <v>4915.5150000000012</v>
      </c>
      <c r="J60" s="1">
        <v>5710</v>
      </c>
      <c r="K60" s="1">
        <v>794.48499999999876</v>
      </c>
      <c r="L60" s="1">
        <v>2027.7</v>
      </c>
      <c r="M60" s="1">
        <v>3090</v>
      </c>
      <c r="N60" s="1">
        <v>1062.3</v>
      </c>
      <c r="O60" s="1">
        <v>270</v>
      </c>
      <c r="P60" s="1">
        <v>970</v>
      </c>
      <c r="Q60" s="1">
        <v>700</v>
      </c>
      <c r="R60" s="1">
        <v>530.83333333333337</v>
      </c>
      <c r="S60" s="1">
        <v>650</v>
      </c>
      <c r="T60" s="1">
        <v>119.16666666666664</v>
      </c>
      <c r="U60" s="1">
        <v>2500</v>
      </c>
      <c r="V60" s="1">
        <v>10420</v>
      </c>
      <c r="W60" s="1">
        <v>2675.9516666666655</v>
      </c>
      <c r="X60" s="1">
        <v>175.95166666666546</v>
      </c>
      <c r="AB60" s="2" t="str">
        <f t="shared" si="0"/>
        <v>PASS</v>
      </c>
      <c r="AV60" s="1"/>
      <c r="AW60" s="1"/>
      <c r="AX60" s="1"/>
    </row>
    <row r="61" spans="1:50">
      <c r="A61" s="1" t="s">
        <v>91</v>
      </c>
      <c r="B61" s="1" t="s">
        <v>24</v>
      </c>
      <c r="C61" s="2">
        <v>46258.444199259262</v>
      </c>
      <c r="D61" s="2">
        <v>44957.016295173613</v>
      </c>
      <c r="E61" s="2">
        <v>46258.385577870373</v>
      </c>
      <c r="F61" s="1" t="s">
        <v>595</v>
      </c>
      <c r="G61" s="1" t="s">
        <v>25</v>
      </c>
      <c r="H61" s="3">
        <v>44956</v>
      </c>
      <c r="I61" s="1">
        <v>4829.9449999999988</v>
      </c>
      <c r="J61" s="1">
        <v>6090</v>
      </c>
      <c r="K61" s="1">
        <v>1260.0550000000012</v>
      </c>
      <c r="L61" s="1">
        <v>564.19999999999993</v>
      </c>
      <c r="M61" s="1">
        <v>990</v>
      </c>
      <c r="N61" s="1">
        <v>425.80000000000007</v>
      </c>
      <c r="O61" s="1">
        <v>230</v>
      </c>
      <c r="P61" s="1">
        <v>600</v>
      </c>
      <c r="Q61" s="1">
        <v>370</v>
      </c>
      <c r="R61" s="1">
        <v>640</v>
      </c>
      <c r="S61" s="1">
        <v>780</v>
      </c>
      <c r="T61" s="1">
        <v>140</v>
      </c>
      <c r="U61" s="1">
        <v>2500</v>
      </c>
      <c r="V61" s="1">
        <v>8460</v>
      </c>
      <c r="W61" s="1">
        <v>2195.8550000000014</v>
      </c>
      <c r="X61" s="1">
        <v>-304.14499999999862</v>
      </c>
      <c r="AB61" s="2" t="str">
        <f t="shared" si="0"/>
        <v>PASS</v>
      </c>
      <c r="AV61" s="1"/>
      <c r="AW61" s="1"/>
      <c r="AX61" s="1"/>
    </row>
    <row r="62" spans="1:50">
      <c r="A62" s="1" t="s">
        <v>92</v>
      </c>
      <c r="B62" s="1" t="s">
        <v>24</v>
      </c>
      <c r="C62" s="2">
        <v>46258.444200717589</v>
      </c>
      <c r="D62" s="2">
        <v>44958.36709777778</v>
      </c>
      <c r="E62" s="2">
        <v>46258.385577951391</v>
      </c>
      <c r="F62" s="1" t="s">
        <v>595</v>
      </c>
      <c r="G62" s="1" t="s">
        <v>25</v>
      </c>
      <c r="H62" s="3">
        <v>44957</v>
      </c>
      <c r="I62" s="1">
        <v>3531.7750000000001</v>
      </c>
      <c r="J62" s="1">
        <v>4780</v>
      </c>
      <c r="K62" s="1">
        <v>1248.2249999999999</v>
      </c>
      <c r="L62" s="1">
        <v>881.10000000000036</v>
      </c>
      <c r="M62" s="1">
        <v>840</v>
      </c>
      <c r="N62" s="1">
        <v>-41.10000000000025</v>
      </c>
      <c r="O62" s="1">
        <v>174</v>
      </c>
      <c r="P62" s="1">
        <v>500</v>
      </c>
      <c r="Q62" s="1">
        <v>326</v>
      </c>
      <c r="R62" s="1">
        <v>606.66666666666674</v>
      </c>
      <c r="S62" s="1">
        <v>750</v>
      </c>
      <c r="T62" s="1">
        <v>143.33333333333326</v>
      </c>
      <c r="U62" s="1">
        <v>2500</v>
      </c>
      <c r="V62" s="1">
        <v>6870</v>
      </c>
      <c r="W62" s="1">
        <v>1676.4583333333328</v>
      </c>
      <c r="X62" s="1">
        <v>-823.5416666666672</v>
      </c>
      <c r="AB62" s="2" t="str">
        <f t="shared" si="0"/>
        <v>PASS</v>
      </c>
      <c r="AV62" s="1"/>
      <c r="AW62" s="1"/>
      <c r="AX62" s="1"/>
    </row>
    <row r="63" spans="1:50">
      <c r="A63" s="1" t="s">
        <v>93</v>
      </c>
      <c r="B63" s="1" t="s">
        <v>24</v>
      </c>
      <c r="C63" s="2">
        <v>46258.444202245373</v>
      </c>
      <c r="D63" s="2">
        <v>44959.006448506945</v>
      </c>
      <c r="E63" s="2">
        <v>46258.385571041668</v>
      </c>
      <c r="F63" s="1" t="s">
        <v>596</v>
      </c>
      <c r="G63" s="1" t="s">
        <v>25</v>
      </c>
      <c r="H63" s="3">
        <v>44958</v>
      </c>
      <c r="I63" s="1">
        <v>3582.9830000000002</v>
      </c>
      <c r="J63" s="1">
        <v>5260</v>
      </c>
      <c r="K63" s="1">
        <v>1677.0169999999998</v>
      </c>
      <c r="L63" s="1">
        <v>1216.6500000000001</v>
      </c>
      <c r="M63" s="1">
        <v>2100</v>
      </c>
      <c r="N63" s="1">
        <v>883.3499999999998</v>
      </c>
      <c r="O63" s="1">
        <v>219.83</v>
      </c>
      <c r="P63" s="1">
        <v>790</v>
      </c>
      <c r="Q63" s="1">
        <v>570.16999999999996</v>
      </c>
      <c r="R63" s="1">
        <v>305.83333333333337</v>
      </c>
      <c r="S63" s="1">
        <v>380</v>
      </c>
      <c r="T63" s="1">
        <v>74.166666666666629</v>
      </c>
      <c r="U63" s="1">
        <v>2500</v>
      </c>
      <c r="V63" s="1">
        <v>8530</v>
      </c>
      <c r="W63" s="1">
        <v>3204.7036666666663</v>
      </c>
      <c r="X63" s="1">
        <v>704.70366666666632</v>
      </c>
      <c r="AB63" s="2" t="str">
        <f t="shared" si="0"/>
        <v>PASS</v>
      </c>
      <c r="AV63" s="1"/>
      <c r="AW63" s="1"/>
      <c r="AX63" s="1"/>
    </row>
    <row r="64" spans="1:50">
      <c r="A64" s="1" t="s">
        <v>94</v>
      </c>
      <c r="B64" s="1" t="s">
        <v>24</v>
      </c>
      <c r="C64" s="2">
        <v>46258.444204340274</v>
      </c>
      <c r="D64" s="2">
        <v>44960.009217708335</v>
      </c>
      <c r="E64" s="2">
        <v>46258.38557121528</v>
      </c>
      <c r="F64" s="1" t="s">
        <v>596</v>
      </c>
      <c r="G64" s="1" t="s">
        <v>25</v>
      </c>
      <c r="H64" s="3">
        <v>44959</v>
      </c>
      <c r="I64" s="1">
        <v>5006.5870000000014</v>
      </c>
      <c r="J64" s="1">
        <v>6600</v>
      </c>
      <c r="K64" s="1">
        <v>1593.4129999999986</v>
      </c>
      <c r="L64" s="1">
        <v>2322.6499999999996</v>
      </c>
      <c r="M64" s="1">
        <v>2940</v>
      </c>
      <c r="N64" s="1">
        <v>617.35000000000036</v>
      </c>
      <c r="O64" s="1">
        <v>337</v>
      </c>
      <c r="P64" s="1">
        <v>830</v>
      </c>
      <c r="Q64" s="1">
        <v>493</v>
      </c>
      <c r="R64" s="1">
        <v>770</v>
      </c>
      <c r="S64" s="1">
        <v>950</v>
      </c>
      <c r="T64" s="1">
        <v>180</v>
      </c>
      <c r="U64" s="1">
        <v>2500</v>
      </c>
      <c r="V64" s="1">
        <v>11320</v>
      </c>
      <c r="W64" s="1">
        <v>2883.762999999999</v>
      </c>
      <c r="X64" s="1">
        <v>383.76299999999907</v>
      </c>
      <c r="AB64" s="2" t="str">
        <f t="shared" si="0"/>
        <v>PASS</v>
      </c>
      <c r="AV64" s="1"/>
      <c r="AW64" s="1"/>
      <c r="AX64" s="1"/>
    </row>
    <row r="65" spans="1:50">
      <c r="A65" s="1" t="s">
        <v>95</v>
      </c>
      <c r="B65" s="1" t="s">
        <v>24</v>
      </c>
      <c r="C65" s="2">
        <v>46258.444205798609</v>
      </c>
      <c r="D65" s="2">
        <v>44961.016864861114</v>
      </c>
      <c r="E65" s="2">
        <v>46258.385571296298</v>
      </c>
      <c r="F65" s="1" t="s">
        <v>596</v>
      </c>
      <c r="G65" s="1" t="s">
        <v>25</v>
      </c>
      <c r="H65" s="3">
        <v>44960</v>
      </c>
      <c r="I65" s="1">
        <v>4875.665</v>
      </c>
      <c r="J65" s="1">
        <v>6880</v>
      </c>
      <c r="K65" s="1">
        <v>2004.335</v>
      </c>
      <c r="L65" s="1">
        <v>2310.6999999999994</v>
      </c>
      <c r="M65" s="1">
        <v>4620</v>
      </c>
      <c r="N65" s="1">
        <v>2309.3000000000006</v>
      </c>
      <c r="O65" s="1">
        <v>174</v>
      </c>
      <c r="P65" s="1">
        <v>340</v>
      </c>
      <c r="Q65" s="1">
        <v>166</v>
      </c>
      <c r="R65" s="1">
        <v>490.00000000000006</v>
      </c>
      <c r="S65" s="1">
        <v>630</v>
      </c>
      <c r="T65" s="1">
        <v>139.99999999999994</v>
      </c>
      <c r="U65" s="1">
        <v>2500</v>
      </c>
      <c r="V65" s="1">
        <v>12470</v>
      </c>
      <c r="W65" s="1">
        <v>4619.6350000000002</v>
      </c>
      <c r="X65" s="1">
        <v>2119.6350000000002</v>
      </c>
      <c r="AB65" s="2" t="str">
        <f t="shared" si="0"/>
        <v>PASS</v>
      </c>
      <c r="AV65" s="1"/>
      <c r="AW65" s="1"/>
      <c r="AX65" s="1"/>
    </row>
    <row r="66" spans="1:50">
      <c r="A66" s="1" t="s">
        <v>96</v>
      </c>
      <c r="B66" s="1" t="s">
        <v>24</v>
      </c>
      <c r="C66" s="2">
        <v>46258.444207650464</v>
      </c>
      <c r="D66" s="2">
        <v>44964.004769872685</v>
      </c>
      <c r="E66" s="2">
        <v>46258.385571365739</v>
      </c>
      <c r="F66" s="1" t="s">
        <v>596</v>
      </c>
      <c r="G66" s="1" t="s">
        <v>25</v>
      </c>
      <c r="H66" s="3">
        <v>44963</v>
      </c>
      <c r="I66" s="1">
        <v>4632.8</v>
      </c>
      <c r="J66" s="1">
        <v>5680</v>
      </c>
      <c r="K66" s="1">
        <v>1047.1999999999998</v>
      </c>
      <c r="L66" s="1">
        <v>1395</v>
      </c>
      <c r="M66" s="1">
        <v>2520</v>
      </c>
      <c r="N66" s="1">
        <v>1125</v>
      </c>
      <c r="O66" s="1">
        <v>191.83</v>
      </c>
      <c r="P66" s="1">
        <v>660</v>
      </c>
      <c r="Q66" s="1">
        <v>468.16999999999996</v>
      </c>
      <c r="R66" s="1">
        <v>660</v>
      </c>
      <c r="S66" s="1">
        <v>850</v>
      </c>
      <c r="T66" s="1">
        <v>190</v>
      </c>
      <c r="U66" s="1">
        <v>2500</v>
      </c>
      <c r="V66" s="1">
        <v>9710</v>
      </c>
      <c r="W66" s="1">
        <v>2830.37</v>
      </c>
      <c r="X66" s="1">
        <v>330.36999999999989</v>
      </c>
      <c r="AB66" s="2" t="str">
        <f t="shared" si="0"/>
        <v>PASS</v>
      </c>
      <c r="AV66" s="1"/>
      <c r="AW66" s="1"/>
      <c r="AX66" s="1"/>
    </row>
    <row r="67" spans="1:50">
      <c r="A67" s="1" t="s">
        <v>97</v>
      </c>
      <c r="B67" s="1" t="s">
        <v>24</v>
      </c>
      <c r="C67" s="2">
        <v>46258.444209143519</v>
      </c>
      <c r="D67" s="2">
        <v>44965.041363379627</v>
      </c>
      <c r="E67" s="2">
        <v>46258.385571516206</v>
      </c>
      <c r="F67" s="1" t="s">
        <v>596</v>
      </c>
      <c r="G67" s="1" t="s">
        <v>25</v>
      </c>
      <c r="H67" s="3">
        <v>44964</v>
      </c>
      <c r="I67" s="1">
        <v>5064.3899999999994</v>
      </c>
      <c r="J67" s="1">
        <v>5260</v>
      </c>
      <c r="K67" s="1">
        <v>195.61000000000055</v>
      </c>
      <c r="L67" s="1">
        <v>2680.6000000000004</v>
      </c>
      <c r="M67" s="1">
        <v>4410</v>
      </c>
      <c r="N67" s="1">
        <v>1729.3999999999996</v>
      </c>
      <c r="O67" s="1">
        <v>326.66000000000003</v>
      </c>
      <c r="P67" s="1">
        <v>1340</v>
      </c>
      <c r="Q67" s="1">
        <v>1013.3399999999999</v>
      </c>
      <c r="R67" s="1">
        <v>568.33333333333326</v>
      </c>
      <c r="S67" s="1">
        <v>730</v>
      </c>
      <c r="T67" s="1">
        <v>161.66666666666674</v>
      </c>
      <c r="U67" s="1">
        <v>2500</v>
      </c>
      <c r="V67" s="1">
        <v>11740</v>
      </c>
      <c r="W67" s="1">
        <v>3100.0166666666673</v>
      </c>
      <c r="X67" s="1">
        <v>600.01666666666733</v>
      </c>
      <c r="AB67" s="2" t="str">
        <f t="shared" ref="AB67:AB130" si="1">IF(ABS(N67-(M67-L67))&lt;0.01,"PASS","CHECK")</f>
        <v>PASS</v>
      </c>
      <c r="AV67" s="1"/>
      <c r="AW67" s="1"/>
      <c r="AX67" s="1"/>
    </row>
    <row r="68" spans="1:50">
      <c r="A68" s="1" t="s">
        <v>98</v>
      </c>
      <c r="B68" s="1" t="s">
        <v>24</v>
      </c>
      <c r="C68" s="2">
        <v>46258.444210648151</v>
      </c>
      <c r="D68" s="2">
        <v>44966.021873113423</v>
      </c>
      <c r="E68" s="2">
        <v>46258.385571574072</v>
      </c>
      <c r="F68" s="1" t="s">
        <v>596</v>
      </c>
      <c r="G68" s="1" t="s">
        <v>25</v>
      </c>
      <c r="H68" s="3">
        <v>44965</v>
      </c>
      <c r="I68" s="1">
        <v>5024.1850000000004</v>
      </c>
      <c r="J68" s="1">
        <v>6970</v>
      </c>
      <c r="K68" s="1">
        <v>1945.8149999999996</v>
      </c>
      <c r="L68" s="1">
        <v>2205.8999999999996</v>
      </c>
      <c r="M68" s="1">
        <v>4600</v>
      </c>
      <c r="N68" s="1">
        <v>2394.1000000000004</v>
      </c>
      <c r="O68" s="1">
        <v>186</v>
      </c>
      <c r="P68" s="1">
        <v>420</v>
      </c>
      <c r="Q68" s="1">
        <v>234</v>
      </c>
      <c r="R68" s="1">
        <v>460</v>
      </c>
      <c r="S68" s="1">
        <v>600</v>
      </c>
      <c r="T68" s="1">
        <v>140</v>
      </c>
      <c r="U68" s="1">
        <v>2500</v>
      </c>
      <c r="V68" s="1">
        <v>12590</v>
      </c>
      <c r="W68" s="1">
        <v>4713.915</v>
      </c>
      <c r="X68" s="1">
        <v>2213.915</v>
      </c>
      <c r="AB68" s="2" t="str">
        <f t="shared" si="1"/>
        <v>PASS</v>
      </c>
      <c r="AV68" s="1"/>
      <c r="AW68" s="1"/>
      <c r="AX68" s="1"/>
    </row>
    <row r="69" spans="1:50">
      <c r="A69" s="1" t="s">
        <v>99</v>
      </c>
      <c r="B69" s="1" t="s">
        <v>24</v>
      </c>
      <c r="C69" s="2">
        <v>46258.444212442133</v>
      </c>
      <c r="D69" s="2">
        <v>44967.013224074071</v>
      </c>
      <c r="E69" s="2">
        <v>46258.385571782404</v>
      </c>
      <c r="F69" s="1" t="s">
        <v>596</v>
      </c>
      <c r="G69" s="1" t="s">
        <v>25</v>
      </c>
      <c r="H69" s="3">
        <v>44966</v>
      </c>
      <c r="I69" s="1">
        <v>5560.2219999999998</v>
      </c>
      <c r="J69" s="1">
        <v>6390</v>
      </c>
      <c r="K69" s="1">
        <v>829.77800000000036</v>
      </c>
      <c r="L69" s="1">
        <v>1262.25</v>
      </c>
      <c r="M69" s="1">
        <v>1610</v>
      </c>
      <c r="N69" s="1">
        <v>347.75</v>
      </c>
      <c r="O69" s="1">
        <v>90</v>
      </c>
      <c r="P69" s="1">
        <v>1500</v>
      </c>
      <c r="Q69" s="1">
        <v>1410</v>
      </c>
      <c r="R69" s="1">
        <v>606.66666666666663</v>
      </c>
      <c r="S69" s="1">
        <v>750</v>
      </c>
      <c r="T69" s="1">
        <v>143.33333333333337</v>
      </c>
      <c r="U69" s="1">
        <v>2500</v>
      </c>
      <c r="V69" s="1">
        <v>10250</v>
      </c>
      <c r="W69" s="1">
        <v>2730.8613333333337</v>
      </c>
      <c r="X69" s="1">
        <v>230.86133333333373</v>
      </c>
      <c r="AB69" s="2" t="str">
        <f t="shared" si="1"/>
        <v>PASS</v>
      </c>
      <c r="AV69" s="1"/>
      <c r="AW69" s="1"/>
      <c r="AX69" s="1"/>
    </row>
    <row r="70" spans="1:50">
      <c r="A70" s="1" t="s">
        <v>100</v>
      </c>
      <c r="B70" s="1" t="s">
        <v>24</v>
      </c>
      <c r="C70" s="2">
        <v>46258.444213969909</v>
      </c>
      <c r="D70" s="2">
        <v>44968.041471053242</v>
      </c>
      <c r="E70" s="2">
        <v>46258.385571921295</v>
      </c>
      <c r="F70" s="1" t="s">
        <v>596</v>
      </c>
      <c r="G70" s="1" t="s">
        <v>25</v>
      </c>
      <c r="H70" s="3">
        <v>44967</v>
      </c>
      <c r="I70" s="1">
        <v>4927.3980000000001</v>
      </c>
      <c r="J70" s="1">
        <v>6420</v>
      </c>
      <c r="K70" s="1">
        <v>1492.6020000000001</v>
      </c>
      <c r="L70" s="1">
        <v>1559.3100000000002</v>
      </c>
      <c r="M70" s="1">
        <v>2070</v>
      </c>
      <c r="N70" s="1">
        <v>510.68999999999983</v>
      </c>
      <c r="O70" s="1">
        <v>90</v>
      </c>
      <c r="P70" s="1">
        <v>750</v>
      </c>
      <c r="Q70" s="1">
        <v>660</v>
      </c>
      <c r="R70" s="1">
        <v>823.33333333333348</v>
      </c>
      <c r="S70" s="1">
        <v>1010</v>
      </c>
      <c r="T70" s="1">
        <v>186.66666666666663</v>
      </c>
      <c r="U70" s="1">
        <v>2500</v>
      </c>
      <c r="V70" s="1">
        <v>10250</v>
      </c>
      <c r="W70" s="1">
        <v>2849.958666666666</v>
      </c>
      <c r="X70" s="1">
        <v>349.95866666666598</v>
      </c>
      <c r="AB70" s="2" t="str">
        <f t="shared" si="1"/>
        <v>PASS</v>
      </c>
      <c r="AV70" s="1"/>
      <c r="AW70" s="1"/>
      <c r="AX70" s="1"/>
    </row>
    <row r="71" spans="1:50">
      <c r="A71" s="1" t="s">
        <v>101</v>
      </c>
      <c r="B71" s="1" t="s">
        <v>24</v>
      </c>
      <c r="C71" s="2">
        <v>46258.44421627315</v>
      </c>
      <c r="D71" s="2">
        <v>44969.052077465276</v>
      </c>
      <c r="E71" s="2">
        <v>46258.385572013889</v>
      </c>
      <c r="F71" s="1" t="s">
        <v>596</v>
      </c>
      <c r="G71" s="1" t="s">
        <v>25</v>
      </c>
      <c r="H71" s="3">
        <v>44968</v>
      </c>
      <c r="I71" s="1">
        <v>4971.37</v>
      </c>
      <c r="J71" s="1">
        <v>5740</v>
      </c>
      <c r="K71" s="1">
        <v>768.63000000000011</v>
      </c>
      <c r="L71" s="1">
        <v>2354.7799999999997</v>
      </c>
      <c r="M71" s="1">
        <v>5060</v>
      </c>
      <c r="N71" s="1">
        <v>2705.2200000000003</v>
      </c>
      <c r="O71" s="1">
        <v>146</v>
      </c>
      <c r="P71" s="1">
        <v>840</v>
      </c>
      <c r="Q71" s="1">
        <v>694</v>
      </c>
      <c r="R71" s="1">
        <v>773.33333333333326</v>
      </c>
      <c r="S71" s="1">
        <v>1000</v>
      </c>
      <c r="T71" s="1">
        <v>226.66666666666671</v>
      </c>
      <c r="U71" s="1">
        <v>2500</v>
      </c>
      <c r="V71" s="1">
        <v>12640</v>
      </c>
      <c r="W71" s="1">
        <v>4394.5166666666673</v>
      </c>
      <c r="X71" s="1">
        <v>1894.5166666666671</v>
      </c>
      <c r="AB71" s="2" t="str">
        <f t="shared" si="1"/>
        <v>PASS</v>
      </c>
      <c r="AV71" s="1"/>
      <c r="AW71" s="1"/>
      <c r="AX71" s="1"/>
    </row>
    <row r="72" spans="1:50">
      <c r="A72" s="1" t="s">
        <v>102</v>
      </c>
      <c r="B72" s="1" t="s">
        <v>24</v>
      </c>
      <c r="C72" s="2">
        <v>46258.444217662036</v>
      </c>
      <c r="D72" s="2">
        <v>44970.044562222225</v>
      </c>
      <c r="E72" s="2">
        <v>46258.385572106483</v>
      </c>
      <c r="F72" s="1" t="s">
        <v>596</v>
      </c>
      <c r="G72" s="1" t="s">
        <v>25</v>
      </c>
      <c r="H72" s="3">
        <v>44969</v>
      </c>
      <c r="I72" s="1">
        <v>4268.6699999999992</v>
      </c>
      <c r="J72" s="1">
        <v>5330</v>
      </c>
      <c r="K72" s="1">
        <v>1061.3300000000008</v>
      </c>
      <c r="L72" s="1">
        <v>2169.0700000000002</v>
      </c>
      <c r="M72" s="1">
        <v>3210</v>
      </c>
      <c r="N72" s="1">
        <v>1040.9299999999998</v>
      </c>
      <c r="O72" s="1">
        <v>366.83000000000004</v>
      </c>
      <c r="P72" s="1">
        <v>3140</v>
      </c>
      <c r="Q72" s="1">
        <v>2773.17</v>
      </c>
      <c r="R72" s="1">
        <v>540</v>
      </c>
      <c r="S72" s="1">
        <v>700</v>
      </c>
      <c r="T72" s="1">
        <v>160</v>
      </c>
      <c r="U72" s="1">
        <v>2500</v>
      </c>
      <c r="V72" s="1">
        <v>12380</v>
      </c>
      <c r="W72" s="1">
        <v>5035.43</v>
      </c>
      <c r="X72" s="1">
        <v>2535.4300000000003</v>
      </c>
      <c r="AB72" s="2" t="str">
        <f t="shared" si="1"/>
        <v>PASS</v>
      </c>
      <c r="AV72" s="1"/>
      <c r="AW72" s="1"/>
      <c r="AX72" s="1"/>
    </row>
    <row r="73" spans="1:50">
      <c r="A73" s="1" t="s">
        <v>103</v>
      </c>
      <c r="B73" s="1" t="s">
        <v>24</v>
      </c>
      <c r="C73" s="2">
        <v>46258.444219409721</v>
      </c>
      <c r="D73" s="2">
        <v>44971.028664131947</v>
      </c>
      <c r="E73" s="2">
        <v>46258.385572187501</v>
      </c>
      <c r="F73" s="1" t="s">
        <v>596</v>
      </c>
      <c r="G73" s="1" t="s">
        <v>25</v>
      </c>
      <c r="H73" s="3">
        <v>44970</v>
      </c>
      <c r="I73" s="1">
        <v>4849.1200000000008</v>
      </c>
      <c r="J73" s="1">
        <v>4965</v>
      </c>
      <c r="K73" s="1">
        <v>115.8799999999992</v>
      </c>
      <c r="L73" s="1">
        <v>809.3000000000003</v>
      </c>
      <c r="M73" s="1">
        <v>1250</v>
      </c>
      <c r="N73" s="1">
        <v>440.6999999999997</v>
      </c>
      <c r="O73" s="1">
        <v>394.66</v>
      </c>
      <c r="P73" s="1">
        <v>1500</v>
      </c>
      <c r="Q73" s="1">
        <v>1105.3399999999999</v>
      </c>
      <c r="R73" s="1">
        <v>606.66666666666663</v>
      </c>
      <c r="S73" s="1">
        <v>800</v>
      </c>
      <c r="T73" s="1">
        <v>193.33333333333337</v>
      </c>
      <c r="U73" s="1">
        <v>2500</v>
      </c>
      <c r="V73" s="1">
        <v>8515</v>
      </c>
      <c r="W73" s="1">
        <v>1855.253333333332</v>
      </c>
      <c r="X73" s="1">
        <v>-644.74666666666781</v>
      </c>
      <c r="AB73" s="2" t="str">
        <f t="shared" si="1"/>
        <v>PASS</v>
      </c>
      <c r="AV73" s="1"/>
      <c r="AW73" s="1"/>
      <c r="AX73" s="1"/>
    </row>
    <row r="74" spans="1:50">
      <c r="A74" s="1" t="s">
        <v>104</v>
      </c>
      <c r="B74" s="1" t="s">
        <v>24</v>
      </c>
      <c r="C74" s="2">
        <v>46258.444221076388</v>
      </c>
      <c r="D74" s="2">
        <v>44972.020363611111</v>
      </c>
      <c r="E74" s="2">
        <v>46258.385572326391</v>
      </c>
      <c r="F74" s="1" t="s">
        <v>596</v>
      </c>
      <c r="G74" s="1" t="s">
        <v>25</v>
      </c>
      <c r="H74" s="3">
        <v>44971</v>
      </c>
      <c r="I74" s="1">
        <v>3762.5399999999991</v>
      </c>
      <c r="J74" s="1">
        <v>6140</v>
      </c>
      <c r="K74" s="1">
        <v>2377.4600000000009</v>
      </c>
      <c r="L74" s="1">
        <v>1332.43</v>
      </c>
      <c r="M74" s="1">
        <v>2250</v>
      </c>
      <c r="N74" s="1">
        <v>917.57</v>
      </c>
      <c r="O74" s="1">
        <v>329.45</v>
      </c>
      <c r="P74" s="1">
        <v>750</v>
      </c>
      <c r="Q74" s="1">
        <v>420.55</v>
      </c>
      <c r="R74" s="1">
        <v>283.33333333333337</v>
      </c>
      <c r="S74" s="1">
        <v>360</v>
      </c>
      <c r="T74" s="1">
        <v>76.666666666666629</v>
      </c>
      <c r="U74" s="1">
        <v>2500</v>
      </c>
      <c r="V74" s="1">
        <v>9500</v>
      </c>
      <c r="W74" s="1">
        <v>3792.2466666666674</v>
      </c>
      <c r="X74" s="1">
        <v>1292.2466666666674</v>
      </c>
      <c r="AB74" s="2" t="str">
        <f t="shared" si="1"/>
        <v>PASS</v>
      </c>
      <c r="AV74" s="1"/>
      <c r="AW74" s="1"/>
      <c r="AX74" s="1"/>
    </row>
    <row r="75" spans="1:50">
      <c r="A75" s="1" t="s">
        <v>105</v>
      </c>
      <c r="B75" s="1" t="s">
        <v>24</v>
      </c>
      <c r="C75" s="2">
        <v>46258.444222847225</v>
      </c>
      <c r="D75" s="2">
        <v>44972.999757245372</v>
      </c>
      <c r="E75" s="2">
        <v>46258.385572569445</v>
      </c>
      <c r="F75" s="1" t="s">
        <v>596</v>
      </c>
      <c r="G75" s="1" t="s">
        <v>25</v>
      </c>
      <c r="H75" s="3">
        <v>44972</v>
      </c>
      <c r="I75" s="1">
        <v>4468.8750000000018</v>
      </c>
      <c r="J75" s="1">
        <v>5340</v>
      </c>
      <c r="K75" s="1">
        <v>871.12499999999829</v>
      </c>
      <c r="L75" s="1">
        <v>1325.55</v>
      </c>
      <c r="M75" s="1">
        <v>3000</v>
      </c>
      <c r="N75" s="1">
        <v>1674.45</v>
      </c>
      <c r="O75" s="1">
        <v>90</v>
      </c>
      <c r="P75" s="1">
        <v>0</v>
      </c>
      <c r="Q75" s="1">
        <v>-90</v>
      </c>
      <c r="R75" s="1">
        <v>426.66666666666663</v>
      </c>
      <c r="S75" s="1">
        <v>550</v>
      </c>
      <c r="T75" s="1">
        <v>123.33333333333336</v>
      </c>
      <c r="U75" s="1">
        <v>2500</v>
      </c>
      <c r="V75" s="1">
        <v>8890</v>
      </c>
      <c r="W75" s="1">
        <v>2578.9083333333315</v>
      </c>
      <c r="X75" s="1">
        <v>78.908333333331484</v>
      </c>
      <c r="AB75" s="2" t="str">
        <f t="shared" si="1"/>
        <v>PASS</v>
      </c>
      <c r="AV75" s="1"/>
      <c r="AW75" s="1"/>
      <c r="AX75" s="1"/>
    </row>
    <row r="76" spans="1:50">
      <c r="A76" s="1" t="s">
        <v>106</v>
      </c>
      <c r="B76" s="1" t="s">
        <v>24</v>
      </c>
      <c r="C76" s="2">
        <v>46258.44422459491</v>
      </c>
      <c r="D76" s="2">
        <v>44974.012290995372</v>
      </c>
      <c r="E76" s="2">
        <v>46258.385572650463</v>
      </c>
      <c r="F76" s="1" t="s">
        <v>596</v>
      </c>
      <c r="G76" s="1" t="s">
        <v>25</v>
      </c>
      <c r="H76" s="3">
        <v>44973</v>
      </c>
      <c r="I76" s="1">
        <v>4813.4049999999988</v>
      </c>
      <c r="J76" s="1">
        <v>6490</v>
      </c>
      <c r="K76" s="1">
        <v>1676.5950000000012</v>
      </c>
      <c r="L76" s="1">
        <v>1148.0999999999999</v>
      </c>
      <c r="M76" s="1">
        <v>2500</v>
      </c>
      <c r="N76" s="1">
        <v>1351.9</v>
      </c>
      <c r="O76" s="1">
        <v>174</v>
      </c>
      <c r="P76" s="1">
        <v>450</v>
      </c>
      <c r="Q76" s="1">
        <v>276</v>
      </c>
      <c r="R76" s="1">
        <v>733.33333333333326</v>
      </c>
      <c r="S76" s="1">
        <v>950</v>
      </c>
      <c r="T76" s="1">
        <v>216.66666666666671</v>
      </c>
      <c r="U76" s="1">
        <v>2500</v>
      </c>
      <c r="V76" s="1">
        <v>10390</v>
      </c>
      <c r="W76" s="1">
        <v>3521.1616666666682</v>
      </c>
      <c r="X76" s="1">
        <v>1021.1616666666678</v>
      </c>
      <c r="AB76" s="2" t="str">
        <f t="shared" si="1"/>
        <v>PASS</v>
      </c>
      <c r="AV76" s="1"/>
      <c r="AW76" s="1"/>
      <c r="AX76" s="1"/>
    </row>
    <row r="77" spans="1:50">
      <c r="A77" s="1" t="s">
        <v>107</v>
      </c>
      <c r="B77" s="1" t="s">
        <v>24</v>
      </c>
      <c r="C77" s="2">
        <v>46258.444226180553</v>
      </c>
      <c r="D77" s="2">
        <v>44975.01087204861</v>
      </c>
      <c r="E77" s="2">
        <v>46258.38557273148</v>
      </c>
      <c r="F77" s="1" t="s">
        <v>596</v>
      </c>
      <c r="G77" s="1" t="s">
        <v>25</v>
      </c>
      <c r="H77" s="3">
        <v>44974</v>
      </c>
      <c r="I77" s="1">
        <v>3913.3449999999984</v>
      </c>
      <c r="J77" s="1">
        <v>6270</v>
      </c>
      <c r="K77" s="1">
        <v>2356.6550000000016</v>
      </c>
      <c r="L77" s="1">
        <v>1537.87</v>
      </c>
      <c r="M77" s="1">
        <v>3250</v>
      </c>
      <c r="N77" s="1">
        <v>1712.13</v>
      </c>
      <c r="O77" s="1">
        <v>230</v>
      </c>
      <c r="P77" s="1">
        <v>590</v>
      </c>
      <c r="Q77" s="1">
        <v>360</v>
      </c>
      <c r="R77" s="1">
        <v>956.66666666666674</v>
      </c>
      <c r="S77" s="1">
        <v>1210</v>
      </c>
      <c r="T77" s="1">
        <v>253.33333333333329</v>
      </c>
      <c r="U77" s="1">
        <v>2100</v>
      </c>
      <c r="V77" s="1">
        <v>11320</v>
      </c>
      <c r="W77" s="1">
        <v>4682.1183333333347</v>
      </c>
      <c r="X77" s="1">
        <v>2582.1183333333347</v>
      </c>
      <c r="AB77" s="2" t="str">
        <f t="shared" si="1"/>
        <v>PASS</v>
      </c>
      <c r="AV77" s="1"/>
      <c r="AW77" s="1"/>
      <c r="AX77" s="1"/>
    </row>
    <row r="78" spans="1:50">
      <c r="A78" s="1" t="s">
        <v>108</v>
      </c>
      <c r="B78" s="1" t="s">
        <v>24</v>
      </c>
      <c r="C78" s="2">
        <v>46258.444227858796</v>
      </c>
      <c r="D78" s="2">
        <v>44976.022160497683</v>
      </c>
      <c r="E78" s="2">
        <v>46258.385572824074</v>
      </c>
      <c r="F78" s="1" t="s">
        <v>596</v>
      </c>
      <c r="G78" s="1" t="s">
        <v>25</v>
      </c>
      <c r="H78" s="3">
        <v>44975</v>
      </c>
      <c r="I78" s="1">
        <v>4915.9750000000004</v>
      </c>
      <c r="J78" s="1">
        <v>6430</v>
      </c>
      <c r="K78" s="1">
        <v>1514.0249999999996</v>
      </c>
      <c r="L78" s="1">
        <v>1471.0500000000002</v>
      </c>
      <c r="M78" s="1">
        <v>2750</v>
      </c>
      <c r="N78" s="1">
        <v>1278.9499999999998</v>
      </c>
      <c r="O78" s="1">
        <v>146</v>
      </c>
      <c r="P78" s="1">
        <v>900</v>
      </c>
      <c r="Q78" s="1">
        <v>754</v>
      </c>
      <c r="R78" s="1">
        <v>813.33333333333326</v>
      </c>
      <c r="S78" s="1">
        <v>1170</v>
      </c>
      <c r="T78" s="1">
        <v>356.66666666666674</v>
      </c>
      <c r="U78" s="1">
        <v>2100</v>
      </c>
      <c r="V78" s="1">
        <v>11250</v>
      </c>
      <c r="W78" s="1">
        <v>3903.6416666666664</v>
      </c>
      <c r="X78" s="1">
        <v>1803.6416666666664</v>
      </c>
      <c r="AB78" s="2" t="str">
        <f t="shared" si="1"/>
        <v>PASS</v>
      </c>
      <c r="AV78" s="1"/>
      <c r="AW78" s="1"/>
      <c r="AX78" s="1"/>
    </row>
    <row r="79" spans="1:50">
      <c r="A79" s="1" t="s">
        <v>109</v>
      </c>
      <c r="B79" s="1" t="s">
        <v>24</v>
      </c>
      <c r="C79" s="2">
        <v>46258.444229363427</v>
      </c>
      <c r="D79" s="2">
        <v>44977.006545358796</v>
      </c>
      <c r="E79" s="2">
        <v>46258.385572905092</v>
      </c>
      <c r="F79" s="1" t="s">
        <v>596</v>
      </c>
      <c r="G79" s="1" t="s">
        <v>25</v>
      </c>
      <c r="H79" s="3">
        <v>44976</v>
      </c>
      <c r="I79" s="1">
        <v>3518.9049999999988</v>
      </c>
      <c r="J79" s="1">
        <v>3860</v>
      </c>
      <c r="K79" s="1">
        <v>341.09500000000116</v>
      </c>
      <c r="L79" s="1">
        <v>1843.5</v>
      </c>
      <c r="M79" s="1">
        <v>3750</v>
      </c>
      <c r="N79" s="1">
        <v>1906.5</v>
      </c>
      <c r="O79" s="1">
        <v>191.83</v>
      </c>
      <c r="P79" s="1">
        <v>500</v>
      </c>
      <c r="Q79" s="1">
        <v>308.16999999999996</v>
      </c>
      <c r="R79" s="1">
        <v>448.33333333333326</v>
      </c>
      <c r="S79" s="1">
        <v>630</v>
      </c>
      <c r="T79" s="1">
        <v>181.66666666666669</v>
      </c>
      <c r="U79" s="1">
        <v>2100</v>
      </c>
      <c r="V79" s="1">
        <v>8740</v>
      </c>
      <c r="W79" s="1">
        <v>2737.4316666666682</v>
      </c>
      <c r="X79" s="1">
        <v>637.43166666666775</v>
      </c>
      <c r="AB79" s="2" t="str">
        <f t="shared" si="1"/>
        <v>PASS</v>
      </c>
      <c r="AV79" s="1"/>
      <c r="AW79" s="1"/>
      <c r="AX79" s="1"/>
    </row>
    <row r="80" spans="1:50">
      <c r="A80" s="1" t="s">
        <v>110</v>
      </c>
      <c r="B80" s="1" t="s">
        <v>24</v>
      </c>
      <c r="C80" s="2">
        <v>46258.444231064816</v>
      </c>
      <c r="D80" s="2">
        <v>44978.003868344909</v>
      </c>
      <c r="E80" s="2">
        <v>46258.385573032407</v>
      </c>
      <c r="F80" s="1" t="s">
        <v>596</v>
      </c>
      <c r="G80" s="1" t="s">
        <v>25</v>
      </c>
      <c r="H80" s="3">
        <v>44977</v>
      </c>
      <c r="I80" s="1">
        <v>4352.7250000000004</v>
      </c>
      <c r="J80" s="1">
        <v>4890</v>
      </c>
      <c r="K80" s="1">
        <v>537.27499999999964</v>
      </c>
      <c r="L80" s="1">
        <v>1825.5</v>
      </c>
      <c r="M80" s="1">
        <v>3500</v>
      </c>
      <c r="N80" s="1">
        <v>1674.4999999999998</v>
      </c>
      <c r="O80" s="1">
        <v>258</v>
      </c>
      <c r="P80" s="1">
        <v>500</v>
      </c>
      <c r="Q80" s="1">
        <v>242</v>
      </c>
      <c r="R80" s="1">
        <v>560</v>
      </c>
      <c r="S80" s="1">
        <v>830</v>
      </c>
      <c r="T80" s="1">
        <v>270</v>
      </c>
      <c r="U80" s="1">
        <v>2100</v>
      </c>
      <c r="V80" s="1">
        <v>9720</v>
      </c>
      <c r="W80" s="1">
        <v>2723.7749999999996</v>
      </c>
      <c r="X80" s="1">
        <v>623.77499999999964</v>
      </c>
      <c r="AB80" s="2" t="str">
        <f t="shared" si="1"/>
        <v>PASS</v>
      </c>
      <c r="AV80" s="1"/>
      <c r="AW80" s="1"/>
      <c r="AX80" s="1"/>
    </row>
    <row r="81" spans="1:50">
      <c r="A81" s="1" t="s">
        <v>111</v>
      </c>
      <c r="B81" s="1" t="s">
        <v>24</v>
      </c>
      <c r="C81" s="2">
        <v>46258.44423346065</v>
      </c>
      <c r="D81" s="2">
        <v>44979.004147870372</v>
      </c>
      <c r="E81" s="2">
        <v>46258.385573206018</v>
      </c>
      <c r="F81" s="1" t="s">
        <v>596</v>
      </c>
      <c r="G81" s="1" t="s">
        <v>25</v>
      </c>
      <c r="H81" s="3">
        <v>44978</v>
      </c>
      <c r="I81" s="1">
        <v>4391.8999999999996</v>
      </c>
      <c r="J81" s="1">
        <v>6440</v>
      </c>
      <c r="K81" s="1">
        <v>2048.1000000000004</v>
      </c>
      <c r="L81" s="1">
        <v>1207.6999999999996</v>
      </c>
      <c r="M81" s="1">
        <v>1750</v>
      </c>
      <c r="N81" s="1">
        <v>542.30000000000041</v>
      </c>
      <c r="O81" s="1">
        <v>90</v>
      </c>
      <c r="P81" s="1">
        <v>600</v>
      </c>
      <c r="Q81" s="1">
        <v>510</v>
      </c>
      <c r="R81" s="1">
        <v>533.33333333333326</v>
      </c>
      <c r="S81" s="1">
        <v>760</v>
      </c>
      <c r="T81" s="1">
        <v>226.66666666666671</v>
      </c>
      <c r="U81" s="1">
        <v>2100</v>
      </c>
      <c r="V81" s="1">
        <v>9550</v>
      </c>
      <c r="W81" s="1">
        <v>3327.0666666666675</v>
      </c>
      <c r="X81" s="1">
        <v>1227.0666666666675</v>
      </c>
      <c r="AB81" s="2" t="str">
        <f t="shared" si="1"/>
        <v>PASS</v>
      </c>
      <c r="AV81" s="1"/>
      <c r="AW81" s="1"/>
      <c r="AX81" s="1"/>
    </row>
    <row r="82" spans="1:50">
      <c r="A82" s="1" t="s">
        <v>112</v>
      </c>
      <c r="B82" s="1" t="s">
        <v>24</v>
      </c>
      <c r="C82" s="2">
        <v>46258.444235011571</v>
      </c>
      <c r="D82" s="2">
        <v>44980.005302800928</v>
      </c>
      <c r="E82" s="2">
        <v>46258.385573287036</v>
      </c>
      <c r="F82" s="1" t="s">
        <v>596</v>
      </c>
      <c r="G82" s="1" t="s">
        <v>25</v>
      </c>
      <c r="H82" s="3">
        <v>44979</v>
      </c>
      <c r="I82" s="1">
        <v>4377.3300000000008</v>
      </c>
      <c r="J82" s="1">
        <v>5280</v>
      </c>
      <c r="K82" s="1">
        <v>902.66999999999916</v>
      </c>
      <c r="L82" s="1">
        <v>588.9000000000002</v>
      </c>
      <c r="M82" s="1">
        <v>780</v>
      </c>
      <c r="N82" s="1">
        <v>191.0999999999998</v>
      </c>
      <c r="O82" s="1">
        <v>118</v>
      </c>
      <c r="P82" s="1">
        <v>450</v>
      </c>
      <c r="Q82" s="1">
        <v>332</v>
      </c>
      <c r="R82" s="1">
        <v>528.33333333333326</v>
      </c>
      <c r="S82" s="1">
        <v>740</v>
      </c>
      <c r="T82" s="1">
        <v>211.66666666666671</v>
      </c>
      <c r="U82" s="1">
        <v>2100</v>
      </c>
      <c r="V82" s="1">
        <v>7250</v>
      </c>
      <c r="W82" s="1">
        <v>1637.4366666666658</v>
      </c>
      <c r="X82" s="1">
        <v>-462.56333333333419</v>
      </c>
      <c r="AB82" s="2" t="str">
        <f t="shared" si="1"/>
        <v>PASS</v>
      </c>
      <c r="AV82" s="1"/>
      <c r="AW82" s="1"/>
      <c r="AX82" s="1"/>
    </row>
    <row r="83" spans="1:50">
      <c r="A83" s="1" t="s">
        <v>113</v>
      </c>
      <c r="B83" s="1" t="s">
        <v>24</v>
      </c>
      <c r="C83" s="2">
        <v>46258.444236805553</v>
      </c>
      <c r="D83" s="2">
        <v>44981.01179326389</v>
      </c>
      <c r="E83" s="2">
        <v>46258.385573368054</v>
      </c>
      <c r="F83" s="1" t="s">
        <v>596</v>
      </c>
      <c r="G83" s="1" t="s">
        <v>25</v>
      </c>
      <c r="H83" s="3">
        <v>44980</v>
      </c>
      <c r="I83" s="1">
        <v>4742.619999999999</v>
      </c>
      <c r="J83" s="1">
        <v>7030</v>
      </c>
      <c r="K83" s="1">
        <v>2287.380000000001</v>
      </c>
      <c r="L83" s="1">
        <v>1435.2</v>
      </c>
      <c r="M83" s="1">
        <v>2500</v>
      </c>
      <c r="N83" s="1">
        <v>1064.8</v>
      </c>
      <c r="O83" s="1">
        <v>174.82999999999998</v>
      </c>
      <c r="P83" s="1">
        <v>950</v>
      </c>
      <c r="Q83" s="1">
        <v>775.17000000000007</v>
      </c>
      <c r="R83" s="1">
        <v>881.66666666666652</v>
      </c>
      <c r="S83" s="1">
        <v>1260</v>
      </c>
      <c r="T83" s="1">
        <v>378.33333333333337</v>
      </c>
      <c r="U83" s="1">
        <v>2100</v>
      </c>
      <c r="V83" s="1">
        <v>11740</v>
      </c>
      <c r="W83" s="1">
        <v>4505.6833333333343</v>
      </c>
      <c r="X83" s="1">
        <v>2405.6833333333343</v>
      </c>
      <c r="AB83" s="2" t="str">
        <f t="shared" si="1"/>
        <v>PASS</v>
      </c>
      <c r="AV83" s="1"/>
      <c r="AW83" s="1"/>
      <c r="AX83" s="1"/>
    </row>
    <row r="84" spans="1:50">
      <c r="A84" s="1" t="s">
        <v>114</v>
      </c>
      <c r="B84" s="1" t="s">
        <v>24</v>
      </c>
      <c r="C84" s="2">
        <v>46258.444238564814</v>
      </c>
      <c r="D84" s="2">
        <v>44982.01182684028</v>
      </c>
      <c r="E84" s="2">
        <v>46258.385573449072</v>
      </c>
      <c r="F84" s="1" t="s">
        <v>596</v>
      </c>
      <c r="G84" s="1" t="s">
        <v>25</v>
      </c>
      <c r="H84" s="3">
        <v>44981</v>
      </c>
      <c r="I84" s="1">
        <v>4726.1950000000024</v>
      </c>
      <c r="J84" s="1">
        <v>6730</v>
      </c>
      <c r="K84" s="1">
        <v>2003.8049999999976</v>
      </c>
      <c r="L84" s="1">
        <v>2676.15</v>
      </c>
      <c r="M84" s="1">
        <v>5000</v>
      </c>
      <c r="N84" s="1">
        <v>2323.85</v>
      </c>
      <c r="O84" s="1">
        <v>332.83000000000004</v>
      </c>
      <c r="P84" s="1">
        <v>1300</v>
      </c>
      <c r="Q84" s="1">
        <v>967.17</v>
      </c>
      <c r="R84" s="1">
        <v>836.66666666666674</v>
      </c>
      <c r="S84" s="1">
        <v>1210</v>
      </c>
      <c r="T84" s="1">
        <v>373.33333333333326</v>
      </c>
      <c r="U84" s="1">
        <v>2100</v>
      </c>
      <c r="V84" s="1">
        <v>14240</v>
      </c>
      <c r="W84" s="1">
        <v>5668.1583333333301</v>
      </c>
      <c r="X84" s="1">
        <v>3568.1583333333301</v>
      </c>
      <c r="AB84" s="2" t="str">
        <f t="shared" si="1"/>
        <v>PASS</v>
      </c>
      <c r="AV84" s="1"/>
      <c r="AW84" s="1"/>
      <c r="AX84" s="1"/>
    </row>
    <row r="85" spans="1:50">
      <c r="A85" s="1" t="s">
        <v>115</v>
      </c>
      <c r="B85" s="1" t="s">
        <v>24</v>
      </c>
      <c r="C85" s="2">
        <v>46258.444240266203</v>
      </c>
      <c r="D85" s="2">
        <v>44982.99743625</v>
      </c>
      <c r="E85" s="2">
        <v>46258.385573530089</v>
      </c>
      <c r="F85" s="1" t="s">
        <v>596</v>
      </c>
      <c r="G85" s="1" t="s">
        <v>25</v>
      </c>
      <c r="H85" s="3">
        <v>44982</v>
      </c>
      <c r="I85" s="1">
        <v>4177.1499999999978</v>
      </c>
      <c r="J85" s="1">
        <v>6110</v>
      </c>
      <c r="K85" s="1">
        <v>1932.8500000000024</v>
      </c>
      <c r="L85" s="1">
        <v>1144.9999999999998</v>
      </c>
      <c r="M85" s="1">
        <v>2250</v>
      </c>
      <c r="N85" s="1">
        <v>1105.0000000000002</v>
      </c>
      <c r="O85" s="1">
        <v>90</v>
      </c>
      <c r="P85" s="1">
        <v>300</v>
      </c>
      <c r="Q85" s="1">
        <v>210</v>
      </c>
      <c r="R85" s="1">
        <v>668.33333333333326</v>
      </c>
      <c r="S85" s="1">
        <v>930</v>
      </c>
      <c r="T85" s="1">
        <v>261.66666666666674</v>
      </c>
      <c r="U85" s="1">
        <v>2100</v>
      </c>
      <c r="V85" s="1">
        <v>9590</v>
      </c>
      <c r="W85" s="1">
        <v>3509.5166666666692</v>
      </c>
      <c r="X85" s="1">
        <v>1409.5166666666692</v>
      </c>
      <c r="AB85" s="2" t="str">
        <f t="shared" si="1"/>
        <v>PASS</v>
      </c>
      <c r="AV85" s="1"/>
      <c r="AW85" s="1"/>
      <c r="AX85" s="1"/>
    </row>
    <row r="86" spans="1:50">
      <c r="A86" s="1" t="s">
        <v>116</v>
      </c>
      <c r="B86" s="1" t="s">
        <v>24</v>
      </c>
      <c r="C86" s="2">
        <v>46258.444242106481</v>
      </c>
      <c r="D86" s="2">
        <v>44984.026259953702</v>
      </c>
      <c r="E86" s="2">
        <v>46258.385573611115</v>
      </c>
      <c r="F86" s="1" t="s">
        <v>596</v>
      </c>
      <c r="G86" s="1" t="s">
        <v>25</v>
      </c>
      <c r="H86" s="3">
        <v>44983</v>
      </c>
      <c r="I86" s="1">
        <v>4279.5049999999992</v>
      </c>
      <c r="J86" s="1">
        <v>5810</v>
      </c>
      <c r="K86" s="1">
        <v>1530.4950000000008</v>
      </c>
      <c r="L86" s="1">
        <v>1597.8</v>
      </c>
      <c r="M86" s="1">
        <v>2750</v>
      </c>
      <c r="N86" s="1">
        <v>1152.2</v>
      </c>
      <c r="O86" s="1">
        <v>202</v>
      </c>
      <c r="P86" s="1">
        <v>750</v>
      </c>
      <c r="Q86" s="1">
        <v>548</v>
      </c>
      <c r="R86" s="1">
        <v>648.33333333333326</v>
      </c>
      <c r="S86" s="1">
        <v>860</v>
      </c>
      <c r="T86" s="1">
        <v>211.66666666666671</v>
      </c>
      <c r="U86" s="1">
        <v>2100</v>
      </c>
      <c r="V86" s="1">
        <v>10170</v>
      </c>
      <c r="W86" s="1">
        <v>3442.3616666666676</v>
      </c>
      <c r="X86" s="1">
        <v>1342.3616666666676</v>
      </c>
      <c r="AB86" s="2" t="str">
        <f t="shared" si="1"/>
        <v>PASS</v>
      </c>
      <c r="AV86" s="1"/>
      <c r="AW86" s="1"/>
      <c r="AX86" s="1"/>
    </row>
    <row r="87" spans="1:50">
      <c r="A87" s="1" t="s">
        <v>117</v>
      </c>
      <c r="B87" s="1" t="s">
        <v>24</v>
      </c>
      <c r="C87" s="2">
        <v>46258.444243807869</v>
      </c>
      <c r="D87" s="2">
        <v>44985.00856574074</v>
      </c>
      <c r="E87" s="2">
        <v>46258.385573784719</v>
      </c>
      <c r="F87" s="1" t="s">
        <v>596</v>
      </c>
      <c r="G87" s="1" t="s">
        <v>25</v>
      </c>
      <c r="H87" s="3">
        <v>44984</v>
      </c>
      <c r="I87" s="1">
        <v>5187.4950000000008</v>
      </c>
      <c r="J87" s="1">
        <v>5880</v>
      </c>
      <c r="K87" s="1">
        <v>692.5049999999992</v>
      </c>
      <c r="L87" s="1">
        <v>1923.7</v>
      </c>
      <c r="M87" s="1">
        <v>4000</v>
      </c>
      <c r="N87" s="1">
        <v>2076.3000000000002</v>
      </c>
      <c r="O87" s="1">
        <v>174</v>
      </c>
      <c r="P87" s="1">
        <v>750</v>
      </c>
      <c r="Q87" s="1">
        <v>576</v>
      </c>
      <c r="R87" s="1">
        <v>726.66666666666652</v>
      </c>
      <c r="S87" s="1">
        <v>1020</v>
      </c>
      <c r="T87" s="1">
        <v>293.33333333333337</v>
      </c>
      <c r="U87" s="1">
        <v>2100</v>
      </c>
      <c r="V87" s="1">
        <v>11650</v>
      </c>
      <c r="W87" s="1">
        <v>3638.1383333333329</v>
      </c>
      <c r="X87" s="1">
        <v>1538.1383333333329</v>
      </c>
      <c r="AB87" s="2" t="str">
        <f t="shared" si="1"/>
        <v>PASS</v>
      </c>
      <c r="AV87" s="1"/>
      <c r="AW87" s="1"/>
      <c r="AX87" s="1"/>
    </row>
    <row r="88" spans="1:50">
      <c r="A88" s="1" t="s">
        <v>118</v>
      </c>
      <c r="B88" s="1" t="s">
        <v>24</v>
      </c>
      <c r="C88" s="2">
        <v>46258.444245497682</v>
      </c>
      <c r="D88" s="2">
        <v>44986.050935891202</v>
      </c>
      <c r="E88" s="2">
        <v>46258.385573865744</v>
      </c>
      <c r="F88" s="1" t="s">
        <v>596</v>
      </c>
      <c r="G88" s="1" t="s">
        <v>25</v>
      </c>
      <c r="H88" s="3">
        <v>44985</v>
      </c>
      <c r="I88" s="1">
        <v>4406.16</v>
      </c>
      <c r="J88" s="1">
        <v>4780</v>
      </c>
      <c r="K88" s="1">
        <v>373.84000000000015</v>
      </c>
      <c r="L88" s="1">
        <v>971.74999999999989</v>
      </c>
      <c r="M88" s="1">
        <v>2000</v>
      </c>
      <c r="N88" s="1">
        <v>1028.2500000000002</v>
      </c>
      <c r="O88" s="1">
        <v>202</v>
      </c>
      <c r="P88" s="1">
        <v>600</v>
      </c>
      <c r="Q88" s="1">
        <v>398</v>
      </c>
      <c r="R88" s="1">
        <v>515</v>
      </c>
      <c r="S88" s="1">
        <v>720</v>
      </c>
      <c r="T88" s="1">
        <v>205</v>
      </c>
      <c r="U88" s="1">
        <v>2100</v>
      </c>
      <c r="V88" s="1">
        <v>8100</v>
      </c>
      <c r="W88" s="1">
        <v>2005.0900000000004</v>
      </c>
      <c r="X88" s="1">
        <v>-94.909999999999627</v>
      </c>
      <c r="AB88" s="2" t="str">
        <f t="shared" si="1"/>
        <v>PASS</v>
      </c>
      <c r="AV88" s="1"/>
      <c r="AW88" s="1"/>
      <c r="AX88" s="1"/>
    </row>
    <row r="89" spans="1:50">
      <c r="A89" s="1" t="s">
        <v>119</v>
      </c>
      <c r="B89" s="1" t="s">
        <v>24</v>
      </c>
      <c r="C89" s="2">
        <v>46258.444247060186</v>
      </c>
      <c r="D89" s="2">
        <v>44987.377718657408</v>
      </c>
      <c r="E89" s="2">
        <v>46258.385584837961</v>
      </c>
      <c r="F89" s="1" t="s">
        <v>597</v>
      </c>
      <c r="G89" s="1" t="s">
        <v>25</v>
      </c>
      <c r="H89" s="3">
        <v>44986</v>
      </c>
      <c r="I89" s="1">
        <v>4196.58</v>
      </c>
      <c r="J89" s="1">
        <v>6830</v>
      </c>
      <c r="K89" s="1">
        <v>2633.42</v>
      </c>
      <c r="L89" s="1">
        <v>1597.5</v>
      </c>
      <c r="M89" s="1">
        <v>2250</v>
      </c>
      <c r="N89" s="1">
        <v>652.5</v>
      </c>
      <c r="O89" s="1">
        <v>354</v>
      </c>
      <c r="P89" s="1">
        <v>1650</v>
      </c>
      <c r="Q89" s="1">
        <v>1296</v>
      </c>
      <c r="R89" s="1">
        <v>909.16666666666652</v>
      </c>
      <c r="S89" s="1">
        <v>1160</v>
      </c>
      <c r="T89" s="1">
        <v>250.83333333333337</v>
      </c>
      <c r="U89" s="1">
        <v>2100</v>
      </c>
      <c r="V89" s="1">
        <v>11890</v>
      </c>
      <c r="W89" s="1">
        <v>4832.7533333333331</v>
      </c>
      <c r="X89" s="1">
        <v>2732.7533333333331</v>
      </c>
      <c r="AB89" s="2" t="str">
        <f t="shared" si="1"/>
        <v>PASS</v>
      </c>
      <c r="AV89" s="1"/>
      <c r="AW89" s="1"/>
      <c r="AX89" s="1"/>
    </row>
    <row r="90" spans="1:50">
      <c r="A90" s="1" t="s">
        <v>120</v>
      </c>
      <c r="B90" s="1" t="s">
        <v>24</v>
      </c>
      <c r="C90" s="2">
        <v>46258.444248599539</v>
      </c>
      <c r="D90" s="2">
        <v>44988.006946504633</v>
      </c>
      <c r="E90" s="2">
        <v>46258.38558490741</v>
      </c>
      <c r="F90" s="1" t="s">
        <v>597</v>
      </c>
      <c r="G90" s="1" t="s">
        <v>25</v>
      </c>
      <c r="H90" s="3">
        <v>44987</v>
      </c>
      <c r="I90" s="1">
        <v>5623.8349999999982</v>
      </c>
      <c r="J90" s="1">
        <v>7880</v>
      </c>
      <c r="K90" s="1">
        <v>2256.1650000000018</v>
      </c>
      <c r="L90" s="1">
        <v>744.59999999999968</v>
      </c>
      <c r="M90" s="1">
        <v>1500</v>
      </c>
      <c r="N90" s="1">
        <v>755.40000000000032</v>
      </c>
      <c r="O90" s="1">
        <v>90</v>
      </c>
      <c r="P90" s="1">
        <v>0</v>
      </c>
      <c r="Q90" s="1">
        <v>-90</v>
      </c>
      <c r="R90" s="1">
        <v>692.5</v>
      </c>
      <c r="S90" s="1">
        <v>880</v>
      </c>
      <c r="T90" s="1">
        <v>187.5</v>
      </c>
      <c r="U90" s="1">
        <v>2100</v>
      </c>
      <c r="V90" s="1">
        <v>10260</v>
      </c>
      <c r="W90" s="1">
        <v>3109.0650000000023</v>
      </c>
      <c r="X90" s="1">
        <v>1009.0650000000024</v>
      </c>
      <c r="AB90" s="2" t="str">
        <f t="shared" si="1"/>
        <v>PASS</v>
      </c>
      <c r="AV90" s="1"/>
      <c r="AW90" s="1"/>
      <c r="AX90" s="1"/>
    </row>
    <row r="91" spans="1:50">
      <c r="A91" s="1" t="s">
        <v>121</v>
      </c>
      <c r="B91" s="1" t="s">
        <v>24</v>
      </c>
      <c r="C91" s="2">
        <v>46258.444250115739</v>
      </c>
      <c r="D91" s="2">
        <v>44989.032557754632</v>
      </c>
      <c r="E91" s="2">
        <v>46258.385584976852</v>
      </c>
      <c r="F91" s="1" t="s">
        <v>597</v>
      </c>
      <c r="G91" s="1" t="s">
        <v>25</v>
      </c>
      <c r="H91" s="3">
        <v>44988</v>
      </c>
      <c r="I91" s="1">
        <v>5633.8700000000017</v>
      </c>
      <c r="J91" s="1">
        <v>7840</v>
      </c>
      <c r="K91" s="1">
        <v>2206.1299999999983</v>
      </c>
      <c r="L91" s="1">
        <v>3144.4</v>
      </c>
      <c r="M91" s="1">
        <v>5000</v>
      </c>
      <c r="N91" s="1">
        <v>1855.6</v>
      </c>
      <c r="O91" s="1">
        <v>575.6</v>
      </c>
      <c r="P91" s="1">
        <v>3650</v>
      </c>
      <c r="Q91" s="1">
        <v>3074.4</v>
      </c>
      <c r="R91" s="1">
        <v>929.16666666666652</v>
      </c>
      <c r="S91" s="1">
        <v>1000</v>
      </c>
      <c r="T91" s="1">
        <v>70.833333333333371</v>
      </c>
      <c r="U91" s="1">
        <v>2100</v>
      </c>
      <c r="V91" s="1">
        <v>17490</v>
      </c>
      <c r="W91" s="1">
        <v>7206.9633333333313</v>
      </c>
      <c r="X91" s="1">
        <v>5106.9633333333304</v>
      </c>
      <c r="AB91" s="2" t="str">
        <f t="shared" si="1"/>
        <v>PASS</v>
      </c>
      <c r="AV91" s="1"/>
      <c r="AW91" s="1"/>
      <c r="AX91" s="1"/>
    </row>
    <row r="92" spans="1:50">
      <c r="A92" s="1" t="s">
        <v>122</v>
      </c>
      <c r="B92" s="1" t="s">
        <v>24</v>
      </c>
      <c r="C92" s="2">
        <v>46258.444251527777</v>
      </c>
      <c r="D92" s="2">
        <v>44990.054004490739</v>
      </c>
      <c r="E92" s="2">
        <v>46258.385585069445</v>
      </c>
      <c r="F92" s="1" t="s">
        <v>597</v>
      </c>
      <c r="G92" s="1" t="s">
        <v>25</v>
      </c>
      <c r="H92" s="3">
        <v>44989</v>
      </c>
      <c r="I92" s="1">
        <v>6549.125</v>
      </c>
      <c r="J92" s="1">
        <v>7760</v>
      </c>
      <c r="K92" s="1">
        <v>1210.875</v>
      </c>
      <c r="L92" s="1">
        <v>1647.3000000000002</v>
      </c>
      <c r="M92" s="1">
        <v>3250</v>
      </c>
      <c r="N92" s="1">
        <v>1602.6999999999998</v>
      </c>
      <c r="O92" s="1">
        <v>122</v>
      </c>
      <c r="P92" s="1">
        <v>150</v>
      </c>
      <c r="Q92" s="1">
        <v>28</v>
      </c>
      <c r="R92" s="1">
        <v>874.16666666666652</v>
      </c>
      <c r="S92" s="1">
        <v>1120</v>
      </c>
      <c r="T92" s="1">
        <v>245.83333333333337</v>
      </c>
      <c r="U92" s="1">
        <v>2100</v>
      </c>
      <c r="V92" s="1">
        <v>12280</v>
      </c>
      <c r="W92" s="1">
        <v>3087.4083333333333</v>
      </c>
      <c r="X92" s="1">
        <v>987.40833333333319</v>
      </c>
      <c r="AB92" s="2" t="str">
        <f t="shared" si="1"/>
        <v>PASS</v>
      </c>
      <c r="AV92" s="1"/>
      <c r="AW92" s="1"/>
      <c r="AX92" s="1"/>
    </row>
    <row r="93" spans="1:50">
      <c r="A93" s="1" t="s">
        <v>123</v>
      </c>
      <c r="B93" s="1" t="s">
        <v>24</v>
      </c>
      <c r="C93" s="2">
        <v>46258.444252881942</v>
      </c>
      <c r="D93" s="2">
        <v>44991.033863217592</v>
      </c>
      <c r="E93" s="2">
        <v>46258.385585138887</v>
      </c>
      <c r="F93" s="1" t="s">
        <v>597</v>
      </c>
      <c r="G93" s="1" t="s">
        <v>25</v>
      </c>
      <c r="H93" s="3">
        <v>44990</v>
      </c>
      <c r="I93" s="1">
        <v>4007.3299999999986</v>
      </c>
      <c r="J93" s="1">
        <v>4520</v>
      </c>
      <c r="K93" s="1">
        <v>512.67000000000189</v>
      </c>
      <c r="L93" s="1">
        <v>1443.3</v>
      </c>
      <c r="M93" s="1">
        <v>2900</v>
      </c>
      <c r="N93" s="1">
        <v>1456.7</v>
      </c>
      <c r="O93" s="1">
        <v>122</v>
      </c>
      <c r="P93" s="1">
        <v>150</v>
      </c>
      <c r="Q93" s="1">
        <v>28</v>
      </c>
      <c r="R93" s="1">
        <v>703.33333333333326</v>
      </c>
      <c r="S93" s="1">
        <v>870</v>
      </c>
      <c r="T93" s="1">
        <v>166.66666666666674</v>
      </c>
      <c r="U93" s="1">
        <v>2100</v>
      </c>
      <c r="V93" s="1">
        <v>8440</v>
      </c>
      <c r="W93" s="1">
        <v>2164.0366666666687</v>
      </c>
      <c r="X93" s="1">
        <v>64.03666666666868</v>
      </c>
      <c r="AB93" s="2" t="str">
        <f t="shared" si="1"/>
        <v>PASS</v>
      </c>
      <c r="AV93" s="1"/>
      <c r="AW93" s="1"/>
      <c r="AX93" s="1"/>
    </row>
    <row r="94" spans="1:50">
      <c r="A94" s="1" t="s">
        <v>124</v>
      </c>
      <c r="B94" s="1" t="s">
        <v>24</v>
      </c>
      <c r="C94" s="2">
        <v>46258.444254259259</v>
      </c>
      <c r="D94" s="2">
        <v>44992.054524872685</v>
      </c>
      <c r="E94" s="2">
        <v>46258.385585381948</v>
      </c>
      <c r="F94" s="1" t="s">
        <v>597</v>
      </c>
      <c r="G94" s="1" t="s">
        <v>25</v>
      </c>
      <c r="H94" s="3">
        <v>44991</v>
      </c>
      <c r="I94" s="1">
        <v>5214.1500000000015</v>
      </c>
      <c r="J94" s="1">
        <v>6790</v>
      </c>
      <c r="K94" s="1">
        <v>1575.8499999999983</v>
      </c>
      <c r="L94" s="1">
        <v>1682.6999999999998</v>
      </c>
      <c r="M94" s="1">
        <v>2930</v>
      </c>
      <c r="N94" s="1">
        <v>1247.3000000000002</v>
      </c>
      <c r="O94" s="1">
        <v>90</v>
      </c>
      <c r="P94" s="1">
        <v>700</v>
      </c>
      <c r="Q94" s="1">
        <v>610</v>
      </c>
      <c r="R94" s="1">
        <v>935.83333333333326</v>
      </c>
      <c r="S94" s="1">
        <v>1180</v>
      </c>
      <c r="T94" s="1">
        <v>244.16666666666671</v>
      </c>
      <c r="U94" s="1">
        <v>2316.6666666666665</v>
      </c>
      <c r="V94" s="1">
        <v>11600</v>
      </c>
      <c r="W94" s="1">
        <v>3677.3166666666657</v>
      </c>
      <c r="X94" s="1">
        <v>1360.6499999999992</v>
      </c>
      <c r="AB94" s="2" t="str">
        <f t="shared" si="1"/>
        <v>PASS</v>
      </c>
      <c r="AV94" s="1"/>
      <c r="AW94" s="1"/>
      <c r="AX94" s="1"/>
    </row>
    <row r="95" spans="1:50">
      <c r="A95" s="1" t="s">
        <v>125</v>
      </c>
      <c r="B95" s="1" t="s">
        <v>24</v>
      </c>
      <c r="C95" s="2">
        <v>46258.44425601852</v>
      </c>
      <c r="D95" s="2">
        <v>44993.023117685188</v>
      </c>
      <c r="E95" s="2">
        <v>46258.385585462966</v>
      </c>
      <c r="F95" s="1" t="s">
        <v>597</v>
      </c>
      <c r="G95" s="1" t="s">
        <v>25</v>
      </c>
      <c r="H95" s="3">
        <v>44992</v>
      </c>
      <c r="I95" s="1">
        <v>5679.9449999999988</v>
      </c>
      <c r="J95" s="1">
        <v>5260</v>
      </c>
      <c r="K95" s="1">
        <v>-419.9449999999988</v>
      </c>
      <c r="L95" s="1">
        <v>1879.8499999999997</v>
      </c>
      <c r="M95" s="1">
        <v>3430</v>
      </c>
      <c r="N95" s="1">
        <v>1550.1500000000003</v>
      </c>
      <c r="O95" s="1">
        <v>163.60000000000002</v>
      </c>
      <c r="P95" s="1">
        <v>350</v>
      </c>
      <c r="Q95" s="1">
        <v>186.39999999999998</v>
      </c>
      <c r="R95" s="1">
        <v>1061.6666666666663</v>
      </c>
      <c r="S95" s="1">
        <v>1360</v>
      </c>
      <c r="T95" s="1">
        <v>298.33333333333348</v>
      </c>
      <c r="U95" s="1">
        <v>2316.6666666666665</v>
      </c>
      <c r="V95" s="1">
        <v>10400</v>
      </c>
      <c r="W95" s="1">
        <v>1614.9383333333349</v>
      </c>
      <c r="X95" s="1">
        <v>-701.72833333333165</v>
      </c>
      <c r="AB95" s="2" t="str">
        <f t="shared" si="1"/>
        <v>PASS</v>
      </c>
      <c r="AV95" s="1"/>
      <c r="AW95" s="1"/>
      <c r="AX95" s="1"/>
    </row>
    <row r="96" spans="1:50">
      <c r="A96" s="1" t="s">
        <v>126</v>
      </c>
      <c r="B96" s="1" t="s">
        <v>24</v>
      </c>
      <c r="C96" s="2">
        <v>46258.444257627314</v>
      </c>
      <c r="D96" s="2">
        <v>44994.010978645834</v>
      </c>
      <c r="E96" s="2">
        <v>46258.385585543983</v>
      </c>
      <c r="F96" s="1" t="s">
        <v>597</v>
      </c>
      <c r="G96" s="1" t="s">
        <v>25</v>
      </c>
      <c r="H96" s="3">
        <v>44993</v>
      </c>
      <c r="I96" s="1">
        <v>3369.9299999999985</v>
      </c>
      <c r="J96" s="1">
        <v>3630</v>
      </c>
      <c r="K96" s="1">
        <v>260.07000000000153</v>
      </c>
      <c r="L96" s="1">
        <v>888.74999999999989</v>
      </c>
      <c r="M96" s="1">
        <v>1750</v>
      </c>
      <c r="N96" s="1">
        <v>861.25000000000011</v>
      </c>
      <c r="O96" s="1">
        <v>154</v>
      </c>
      <c r="P96" s="1">
        <v>300</v>
      </c>
      <c r="Q96" s="1">
        <v>146</v>
      </c>
      <c r="R96" s="1">
        <v>1529.1666666666663</v>
      </c>
      <c r="S96" s="1">
        <v>1920</v>
      </c>
      <c r="T96" s="1">
        <v>390.83333333333343</v>
      </c>
      <c r="U96" s="1">
        <v>2316.6666666666665</v>
      </c>
      <c r="V96" s="1">
        <v>7600</v>
      </c>
      <c r="W96" s="1">
        <v>1658.153333333335</v>
      </c>
      <c r="X96" s="1">
        <v>-658.5133333333315</v>
      </c>
      <c r="AB96" s="2" t="str">
        <f t="shared" si="1"/>
        <v>PASS</v>
      </c>
      <c r="AV96" s="1"/>
      <c r="AW96" s="1"/>
      <c r="AX96" s="1"/>
    </row>
    <row r="97" spans="1:50">
      <c r="A97" s="1" t="s">
        <v>127</v>
      </c>
      <c r="B97" s="1" t="s">
        <v>24</v>
      </c>
      <c r="C97" s="2">
        <v>46258.444259027776</v>
      </c>
      <c r="D97" s="2">
        <v>44995.066963287034</v>
      </c>
      <c r="E97" s="2">
        <v>46258.385585613425</v>
      </c>
      <c r="F97" s="1" t="s">
        <v>597</v>
      </c>
      <c r="G97" s="1" t="s">
        <v>25</v>
      </c>
      <c r="H97" s="3">
        <v>44994</v>
      </c>
      <c r="I97" s="1">
        <v>4307.5699999999979</v>
      </c>
      <c r="J97" s="1">
        <v>6130</v>
      </c>
      <c r="K97" s="1">
        <v>1822.4300000000021</v>
      </c>
      <c r="L97" s="1">
        <v>1121.55</v>
      </c>
      <c r="M97" s="1">
        <v>2250</v>
      </c>
      <c r="N97" s="1">
        <v>1128.45</v>
      </c>
      <c r="O97" s="1">
        <v>320.8</v>
      </c>
      <c r="P97" s="1">
        <v>1350</v>
      </c>
      <c r="Q97" s="1">
        <v>1029.2</v>
      </c>
      <c r="R97" s="1">
        <v>745</v>
      </c>
      <c r="S97" s="1">
        <v>940</v>
      </c>
      <c r="T97" s="1">
        <v>195</v>
      </c>
      <c r="U97" s="1">
        <v>2316.6666666666665</v>
      </c>
      <c r="V97" s="1">
        <v>10670</v>
      </c>
      <c r="W97" s="1">
        <v>4175.0800000000017</v>
      </c>
      <c r="X97" s="1">
        <v>1858.4133333333352</v>
      </c>
      <c r="AB97" s="2" t="str">
        <f t="shared" si="1"/>
        <v>PASS</v>
      </c>
      <c r="AV97" s="1"/>
      <c r="AW97" s="1"/>
      <c r="AX97" s="1"/>
    </row>
    <row r="98" spans="1:50">
      <c r="A98" s="1" t="s">
        <v>128</v>
      </c>
      <c r="B98" s="1" t="s">
        <v>24</v>
      </c>
      <c r="C98" s="2">
        <v>46258.444260555552</v>
      </c>
      <c r="D98" s="2">
        <v>46256.363872951391</v>
      </c>
      <c r="E98" s="2">
        <v>46258.385585682867</v>
      </c>
      <c r="F98" s="1" t="s">
        <v>597</v>
      </c>
      <c r="G98" s="1" t="s">
        <v>25</v>
      </c>
      <c r="H98" s="3">
        <v>44995</v>
      </c>
      <c r="I98" s="1">
        <v>4533.8599999999997</v>
      </c>
      <c r="J98" s="1">
        <v>6200</v>
      </c>
      <c r="K98" s="1">
        <v>1666.1400000000003</v>
      </c>
      <c r="L98" s="1">
        <v>1321.35</v>
      </c>
      <c r="M98" s="1">
        <v>2360</v>
      </c>
      <c r="N98" s="1">
        <v>1038.6500000000001</v>
      </c>
      <c r="O98" s="1">
        <v>90</v>
      </c>
      <c r="P98" s="1">
        <v>0</v>
      </c>
      <c r="Q98" s="1">
        <v>-90</v>
      </c>
      <c r="R98" s="1">
        <v>575</v>
      </c>
      <c r="S98" s="1">
        <v>720</v>
      </c>
      <c r="T98" s="1">
        <v>145</v>
      </c>
      <c r="U98" s="1">
        <v>2316.6666666666665</v>
      </c>
      <c r="V98" s="1">
        <v>9280</v>
      </c>
      <c r="W98" s="1">
        <v>2759.79</v>
      </c>
      <c r="X98" s="1">
        <v>443.12333333333345</v>
      </c>
      <c r="AB98" s="2" t="str">
        <f t="shared" si="1"/>
        <v>PASS</v>
      </c>
      <c r="AV98" s="1"/>
      <c r="AW98" s="1"/>
      <c r="AX98" s="1"/>
    </row>
    <row r="99" spans="1:50">
      <c r="A99" s="1" t="s">
        <v>129</v>
      </c>
      <c r="B99" s="1" t="s">
        <v>24</v>
      </c>
      <c r="C99" s="2">
        <v>46258.444262141202</v>
      </c>
      <c r="D99" s="2">
        <v>46256.235463993056</v>
      </c>
      <c r="E99" s="2">
        <v>46258.385585868054</v>
      </c>
      <c r="F99" s="1" t="s">
        <v>597</v>
      </c>
      <c r="G99" s="1" t="s">
        <v>25</v>
      </c>
      <c r="H99" s="3">
        <v>44996</v>
      </c>
      <c r="I99" s="1">
        <v>4515.5200000000023</v>
      </c>
      <c r="J99" s="1">
        <v>5620</v>
      </c>
      <c r="K99" s="1">
        <v>1104.4799999999975</v>
      </c>
      <c r="L99" s="1">
        <v>2766.5499999999997</v>
      </c>
      <c r="M99" s="1">
        <v>4750</v>
      </c>
      <c r="N99" s="1">
        <v>1983.4500000000005</v>
      </c>
      <c r="O99" s="1">
        <v>167</v>
      </c>
      <c r="P99" s="1">
        <v>1950</v>
      </c>
      <c r="Q99" s="1">
        <v>1783</v>
      </c>
      <c r="R99" s="1">
        <v>1950</v>
      </c>
      <c r="S99" s="1">
        <v>2420</v>
      </c>
      <c r="T99" s="1">
        <v>470.00000000000023</v>
      </c>
      <c r="U99" s="1">
        <v>2316.6666666666665</v>
      </c>
      <c r="V99" s="1">
        <v>14740</v>
      </c>
      <c r="W99" s="1">
        <v>5340.9299999999985</v>
      </c>
      <c r="X99" s="1">
        <v>3024.263333333332</v>
      </c>
      <c r="AB99" s="2" t="str">
        <f t="shared" si="1"/>
        <v>PASS</v>
      </c>
      <c r="AV99" s="1"/>
      <c r="AW99" s="1"/>
      <c r="AX99" s="1"/>
    </row>
    <row r="100" spans="1:50">
      <c r="A100" s="1" t="s">
        <v>130</v>
      </c>
      <c r="B100" s="1" t="s">
        <v>24</v>
      </c>
      <c r="C100" s="2">
        <v>46258.444263668978</v>
      </c>
      <c r="D100" s="2">
        <v>44998.019440335651</v>
      </c>
      <c r="E100" s="2">
        <v>46258.385586076387</v>
      </c>
      <c r="F100" s="1" t="s">
        <v>597</v>
      </c>
      <c r="G100" s="1" t="s">
        <v>25</v>
      </c>
      <c r="H100" s="3">
        <v>44997</v>
      </c>
      <c r="I100" s="1">
        <v>5048.3449999999984</v>
      </c>
      <c r="J100" s="1">
        <v>5860</v>
      </c>
      <c r="K100" s="1">
        <v>811.65500000000156</v>
      </c>
      <c r="L100" s="1">
        <v>1927.7</v>
      </c>
      <c r="M100" s="1">
        <v>3500</v>
      </c>
      <c r="N100" s="1">
        <v>1572.3000000000002</v>
      </c>
      <c r="O100" s="1">
        <v>199</v>
      </c>
      <c r="P100" s="1">
        <v>1350</v>
      </c>
      <c r="Q100" s="1">
        <v>1151</v>
      </c>
      <c r="R100" s="1">
        <v>1731.6666666666663</v>
      </c>
      <c r="S100" s="1">
        <v>2160</v>
      </c>
      <c r="T100" s="1">
        <v>428.33333333333343</v>
      </c>
      <c r="U100" s="1">
        <v>2316.6666666666665</v>
      </c>
      <c r="V100" s="1">
        <v>12870</v>
      </c>
      <c r="W100" s="1">
        <v>3963.2883333333352</v>
      </c>
      <c r="X100" s="1">
        <v>1646.6216666666687</v>
      </c>
      <c r="AB100" s="2" t="str">
        <f t="shared" si="1"/>
        <v>PASS</v>
      </c>
      <c r="AV100" s="1"/>
      <c r="AW100" s="1"/>
      <c r="AX100" s="1"/>
    </row>
    <row r="101" spans="1:50">
      <c r="A101" s="1" t="s">
        <v>131</v>
      </c>
      <c r="B101" s="1" t="s">
        <v>24</v>
      </c>
      <c r="C101" s="2">
        <v>46258.444265370374</v>
      </c>
      <c r="D101" s="2">
        <v>44999.027090219904</v>
      </c>
      <c r="E101" s="2">
        <v>46258.385586215278</v>
      </c>
      <c r="F101" s="1" t="s">
        <v>597</v>
      </c>
      <c r="G101" s="1" t="s">
        <v>25</v>
      </c>
      <c r="H101" s="3">
        <v>44998</v>
      </c>
      <c r="I101" s="1">
        <v>5516.2550000000001</v>
      </c>
      <c r="J101" s="1">
        <v>6750</v>
      </c>
      <c r="K101" s="1">
        <v>1233.7449999999999</v>
      </c>
      <c r="L101" s="1">
        <v>1656.6</v>
      </c>
      <c r="M101" s="1">
        <v>3250</v>
      </c>
      <c r="N101" s="1">
        <v>1593.4</v>
      </c>
      <c r="O101" s="1">
        <v>217.8</v>
      </c>
      <c r="P101" s="1">
        <v>550</v>
      </c>
      <c r="Q101" s="1">
        <v>332.2</v>
      </c>
      <c r="R101" s="1">
        <v>1493.3333333333337</v>
      </c>
      <c r="S101" s="1">
        <v>1760</v>
      </c>
      <c r="T101" s="1">
        <v>266.66666666666652</v>
      </c>
      <c r="U101" s="1">
        <v>2316.6666666666665</v>
      </c>
      <c r="V101" s="1">
        <v>12310</v>
      </c>
      <c r="W101" s="1">
        <v>3426.0116666666659</v>
      </c>
      <c r="X101" s="1">
        <v>1109.3449999999991</v>
      </c>
      <c r="AB101" s="2" t="str">
        <f t="shared" si="1"/>
        <v>PASS</v>
      </c>
      <c r="AV101" s="1"/>
      <c r="AW101" s="1"/>
      <c r="AX101" s="1"/>
    </row>
    <row r="102" spans="1:50">
      <c r="A102" s="1" t="s">
        <v>132</v>
      </c>
      <c r="B102" s="1" t="s">
        <v>24</v>
      </c>
      <c r="C102" s="2">
        <v>46258.44426689815</v>
      </c>
      <c r="D102" s="2">
        <v>45000.010985671295</v>
      </c>
      <c r="E102" s="2">
        <v>46258.385586307872</v>
      </c>
      <c r="F102" s="1" t="s">
        <v>597</v>
      </c>
      <c r="G102" s="1" t="s">
        <v>25</v>
      </c>
      <c r="H102" s="3">
        <v>44999</v>
      </c>
      <c r="I102" s="1">
        <v>4876.8350000000028</v>
      </c>
      <c r="J102" s="1">
        <v>6490</v>
      </c>
      <c r="K102" s="1">
        <v>1613.1649999999972</v>
      </c>
      <c r="L102" s="1">
        <v>999.60000000000036</v>
      </c>
      <c r="M102" s="1">
        <v>1250</v>
      </c>
      <c r="N102" s="1">
        <v>250.39999999999975</v>
      </c>
      <c r="O102" s="1">
        <v>288.60000000000002</v>
      </c>
      <c r="P102" s="1">
        <v>1200</v>
      </c>
      <c r="Q102" s="1">
        <v>911.4</v>
      </c>
      <c r="R102" s="1">
        <v>989.16666666666674</v>
      </c>
      <c r="S102" s="1">
        <v>1260</v>
      </c>
      <c r="T102" s="1">
        <v>270.83333333333326</v>
      </c>
      <c r="U102" s="1">
        <v>2316.6666666666665</v>
      </c>
      <c r="V102" s="1">
        <v>10200</v>
      </c>
      <c r="W102" s="1">
        <v>3045.7983333333304</v>
      </c>
      <c r="X102" s="1">
        <v>729.13166666666405</v>
      </c>
      <c r="AB102" s="2" t="str">
        <f t="shared" si="1"/>
        <v>PASS</v>
      </c>
      <c r="AV102" s="1"/>
      <c r="AW102" s="1"/>
      <c r="AX102" s="1"/>
    </row>
    <row r="103" spans="1:50">
      <c r="A103" s="1" t="s">
        <v>133</v>
      </c>
      <c r="B103" s="1" t="s">
        <v>24</v>
      </c>
      <c r="C103" s="2">
        <v>46258.444268553241</v>
      </c>
      <c r="D103" s="2">
        <v>46256.370917766202</v>
      </c>
      <c r="E103" s="2">
        <v>46258.385586388889</v>
      </c>
      <c r="F103" s="1" t="s">
        <v>597</v>
      </c>
      <c r="G103" s="1" t="s">
        <v>25</v>
      </c>
      <c r="H103" s="3">
        <v>45000</v>
      </c>
      <c r="I103" s="1">
        <v>4381.4049999999997</v>
      </c>
      <c r="J103" s="1">
        <v>5610</v>
      </c>
      <c r="K103" s="1">
        <v>1228.5950000000005</v>
      </c>
      <c r="L103" s="1">
        <v>485.0999999999998</v>
      </c>
      <c r="M103" s="1">
        <v>1000</v>
      </c>
      <c r="N103" s="1">
        <v>514.9000000000002</v>
      </c>
      <c r="O103" s="1">
        <v>90</v>
      </c>
      <c r="P103" s="1">
        <v>0</v>
      </c>
      <c r="Q103" s="1">
        <v>-90</v>
      </c>
      <c r="R103" s="1">
        <v>1290</v>
      </c>
      <c r="S103" s="1">
        <v>1660</v>
      </c>
      <c r="T103" s="1">
        <v>370</v>
      </c>
      <c r="U103" s="1">
        <v>2316.6666666666665</v>
      </c>
      <c r="V103" s="1">
        <v>8270</v>
      </c>
      <c r="W103" s="1">
        <v>2023.4950000000003</v>
      </c>
      <c r="X103" s="1">
        <v>-293.17166666666617</v>
      </c>
      <c r="AB103" s="2" t="str">
        <f t="shared" si="1"/>
        <v>PASS</v>
      </c>
      <c r="AV103" s="1"/>
      <c r="AW103" s="1"/>
      <c r="AX103" s="1"/>
    </row>
    <row r="104" spans="1:50">
      <c r="A104" s="1" t="s">
        <v>134</v>
      </c>
      <c r="B104" s="1" t="s">
        <v>24</v>
      </c>
      <c r="C104" s="2">
        <v>46258.444270127315</v>
      </c>
      <c r="D104" s="2">
        <v>45002.0311534375</v>
      </c>
      <c r="E104" s="2">
        <v>46258.385586689816</v>
      </c>
      <c r="F104" s="1" t="s">
        <v>597</v>
      </c>
      <c r="G104" s="1" t="s">
        <v>25</v>
      </c>
      <c r="H104" s="3">
        <v>45001</v>
      </c>
      <c r="I104" s="1">
        <v>5831.1999999999971</v>
      </c>
      <c r="J104" s="1">
        <v>8070</v>
      </c>
      <c r="K104" s="1">
        <v>2238.8000000000029</v>
      </c>
      <c r="L104" s="1">
        <v>2654.1</v>
      </c>
      <c r="M104" s="1">
        <v>4750</v>
      </c>
      <c r="N104" s="1">
        <v>2095.9</v>
      </c>
      <c r="O104" s="1">
        <v>237.66000000000003</v>
      </c>
      <c r="P104" s="1">
        <v>2200</v>
      </c>
      <c r="Q104" s="1">
        <v>1962.34</v>
      </c>
      <c r="R104" s="1">
        <v>1583.333333333333</v>
      </c>
      <c r="S104" s="1">
        <v>2000</v>
      </c>
      <c r="T104" s="1">
        <v>416.66666666666697</v>
      </c>
      <c r="U104" s="1">
        <v>2316.6666666666665</v>
      </c>
      <c r="V104" s="1">
        <v>17020</v>
      </c>
      <c r="W104" s="1">
        <v>6713.7066666666697</v>
      </c>
      <c r="X104" s="1">
        <v>4397.0400000000027</v>
      </c>
      <c r="AB104" s="2" t="str">
        <f t="shared" si="1"/>
        <v>PASS</v>
      </c>
      <c r="AV104" s="1"/>
      <c r="AW104" s="1"/>
      <c r="AX104" s="1"/>
    </row>
    <row r="105" spans="1:50">
      <c r="A105" s="1" t="s">
        <v>135</v>
      </c>
      <c r="B105" s="1" t="s">
        <v>24</v>
      </c>
      <c r="C105" s="2">
        <v>46258.444271423614</v>
      </c>
      <c r="D105" s="2">
        <v>45003.005242800929</v>
      </c>
      <c r="E105" s="2">
        <v>46258.385586990742</v>
      </c>
      <c r="F105" s="1" t="s">
        <v>597</v>
      </c>
      <c r="G105" s="1" t="s">
        <v>25</v>
      </c>
      <c r="H105" s="3">
        <v>45002</v>
      </c>
      <c r="I105" s="1">
        <v>6056.7649999999976</v>
      </c>
      <c r="J105" s="1">
        <v>5050</v>
      </c>
      <c r="K105" s="1">
        <v>-1006.7649999999976</v>
      </c>
      <c r="L105" s="1">
        <v>1244.9999999999995</v>
      </c>
      <c r="M105" s="1">
        <v>2750</v>
      </c>
      <c r="N105" s="1">
        <v>1505.0000000000005</v>
      </c>
      <c r="O105" s="1">
        <v>186</v>
      </c>
      <c r="P105" s="1">
        <v>400</v>
      </c>
      <c r="Q105" s="1">
        <v>214</v>
      </c>
      <c r="R105" s="1">
        <v>1028.3333333333333</v>
      </c>
      <c r="S105" s="1">
        <v>1300</v>
      </c>
      <c r="T105" s="1">
        <v>271.66666666666674</v>
      </c>
      <c r="U105" s="1">
        <v>2316.6666666666665</v>
      </c>
      <c r="V105" s="1">
        <v>9500</v>
      </c>
      <c r="W105" s="1">
        <v>983.9016666666696</v>
      </c>
      <c r="X105" s="1">
        <v>-1332.7649999999967</v>
      </c>
      <c r="AB105" s="2" t="str">
        <f t="shared" si="1"/>
        <v>PASS</v>
      </c>
      <c r="AV105" s="1"/>
      <c r="AW105" s="1"/>
      <c r="AX105" s="1"/>
    </row>
    <row r="106" spans="1:50">
      <c r="A106" s="1" t="s">
        <v>136</v>
      </c>
      <c r="B106" s="1" t="s">
        <v>24</v>
      </c>
      <c r="C106" s="2">
        <v>46258.444272939814</v>
      </c>
      <c r="D106" s="2">
        <v>45004.582158645833</v>
      </c>
      <c r="E106" s="2">
        <v>46258.385587152778</v>
      </c>
      <c r="F106" s="1" t="s">
        <v>597</v>
      </c>
      <c r="G106" s="1" t="s">
        <v>25</v>
      </c>
      <c r="H106" s="3">
        <v>45003</v>
      </c>
      <c r="I106" s="1">
        <v>4507.9350000000013</v>
      </c>
      <c r="J106" s="1">
        <v>6260</v>
      </c>
      <c r="K106" s="1">
        <v>1752.0649999999987</v>
      </c>
      <c r="L106" s="1">
        <v>2572.5</v>
      </c>
      <c r="M106" s="1">
        <v>5250</v>
      </c>
      <c r="N106" s="1">
        <v>2677.5</v>
      </c>
      <c r="O106" s="1">
        <v>223.4</v>
      </c>
      <c r="P106" s="1">
        <v>850</v>
      </c>
      <c r="Q106" s="1">
        <v>626.6</v>
      </c>
      <c r="R106" s="1">
        <v>1345</v>
      </c>
      <c r="S106" s="1">
        <v>1720</v>
      </c>
      <c r="T106" s="1">
        <v>375</v>
      </c>
      <c r="U106" s="1">
        <v>2316.6666666666665</v>
      </c>
      <c r="V106" s="1">
        <v>14080</v>
      </c>
      <c r="W106" s="1">
        <v>5431.1649999999991</v>
      </c>
      <c r="X106" s="1">
        <v>3114.4983333333325</v>
      </c>
      <c r="AB106" s="2" t="str">
        <f t="shared" si="1"/>
        <v>PASS</v>
      </c>
      <c r="AV106" s="1"/>
      <c r="AW106" s="1"/>
      <c r="AX106" s="1"/>
    </row>
    <row r="107" spans="1:50">
      <c r="A107" s="1" t="s">
        <v>137</v>
      </c>
      <c r="B107" s="1" t="s">
        <v>24</v>
      </c>
      <c r="C107" s="2">
        <v>46258.444274606481</v>
      </c>
      <c r="D107" s="2">
        <v>45005.053000821761</v>
      </c>
      <c r="E107" s="2">
        <v>46258.385587256947</v>
      </c>
      <c r="F107" s="1" t="s">
        <v>597</v>
      </c>
      <c r="G107" s="1" t="s">
        <v>25</v>
      </c>
      <c r="H107" s="3">
        <v>45004</v>
      </c>
      <c r="I107" s="1">
        <v>4833.2000000000007</v>
      </c>
      <c r="J107" s="1">
        <v>5800</v>
      </c>
      <c r="K107" s="1">
        <v>966.79999999999916</v>
      </c>
      <c r="L107" s="1">
        <v>1292.45</v>
      </c>
      <c r="M107" s="1">
        <v>2750</v>
      </c>
      <c r="N107" s="1">
        <v>1457.55</v>
      </c>
      <c r="O107" s="1">
        <v>384.79999999999995</v>
      </c>
      <c r="P107" s="1">
        <v>1650</v>
      </c>
      <c r="Q107" s="1">
        <v>1265.2</v>
      </c>
      <c r="R107" s="1">
        <v>1152.5</v>
      </c>
      <c r="S107" s="1">
        <v>1300</v>
      </c>
      <c r="T107" s="1">
        <v>147.5</v>
      </c>
      <c r="U107" s="1">
        <v>2316.6666666666665</v>
      </c>
      <c r="V107" s="1">
        <v>11500</v>
      </c>
      <c r="W107" s="1">
        <v>3837.0499999999993</v>
      </c>
      <c r="X107" s="1">
        <v>1520.3833333333328</v>
      </c>
      <c r="AB107" s="2" t="str">
        <f t="shared" si="1"/>
        <v>PASS</v>
      </c>
      <c r="AV107" s="1"/>
      <c r="AW107" s="1"/>
      <c r="AX107" s="1"/>
    </row>
    <row r="108" spans="1:50">
      <c r="A108" s="1" t="s">
        <v>138</v>
      </c>
      <c r="B108" s="1" t="s">
        <v>24</v>
      </c>
      <c r="C108" s="2">
        <v>46258.444276203707</v>
      </c>
      <c r="D108" s="2">
        <v>45006.007018206015</v>
      </c>
      <c r="E108" s="2">
        <v>46258.38558746528</v>
      </c>
      <c r="F108" s="1" t="s">
        <v>597</v>
      </c>
      <c r="G108" s="1" t="s">
        <v>25</v>
      </c>
      <c r="H108" s="3">
        <v>45005</v>
      </c>
      <c r="I108" s="1">
        <v>3968.1900000000014</v>
      </c>
      <c r="J108" s="1">
        <v>4720</v>
      </c>
      <c r="K108" s="1">
        <v>751.80999999999858</v>
      </c>
      <c r="L108" s="1">
        <v>2045.75</v>
      </c>
      <c r="M108" s="1">
        <v>3250</v>
      </c>
      <c r="N108" s="1">
        <v>1204.25</v>
      </c>
      <c r="O108" s="1">
        <v>258</v>
      </c>
      <c r="P108" s="1">
        <v>1750</v>
      </c>
      <c r="Q108" s="1">
        <v>1492</v>
      </c>
      <c r="R108" s="1">
        <v>1020</v>
      </c>
      <c r="S108" s="1">
        <v>1300</v>
      </c>
      <c r="T108" s="1">
        <v>280</v>
      </c>
      <c r="U108" s="1">
        <v>2316.6666666666665</v>
      </c>
      <c r="V108" s="1">
        <v>11020</v>
      </c>
      <c r="W108" s="1">
        <v>3728.0599999999986</v>
      </c>
      <c r="X108" s="1">
        <v>1411.3933333333321</v>
      </c>
      <c r="AB108" s="2" t="str">
        <f t="shared" si="1"/>
        <v>PASS</v>
      </c>
      <c r="AV108" s="1"/>
      <c r="AW108" s="1"/>
      <c r="AX108" s="1"/>
    </row>
    <row r="109" spans="1:50">
      <c r="A109" s="1" t="s">
        <v>139</v>
      </c>
      <c r="B109" s="1" t="s">
        <v>24</v>
      </c>
      <c r="C109" s="2">
        <v>46258.444277557872</v>
      </c>
      <c r="D109" s="2">
        <v>46256.364032488425</v>
      </c>
      <c r="E109" s="2">
        <v>46258.385587638892</v>
      </c>
      <c r="F109" s="1" t="s">
        <v>597</v>
      </c>
      <c r="G109" s="1" t="s">
        <v>25</v>
      </c>
      <c r="H109" s="3">
        <v>45006</v>
      </c>
      <c r="I109" s="1">
        <v>4907.4000000000005</v>
      </c>
      <c r="J109" s="1">
        <v>7100</v>
      </c>
      <c r="K109" s="1">
        <v>2192.5999999999995</v>
      </c>
      <c r="L109" s="1">
        <v>569.4</v>
      </c>
      <c r="M109" s="1">
        <v>1000</v>
      </c>
      <c r="N109" s="1">
        <v>430.6</v>
      </c>
      <c r="O109" s="1">
        <v>90</v>
      </c>
      <c r="P109" s="1">
        <v>0</v>
      </c>
      <c r="Q109" s="1">
        <v>-90</v>
      </c>
      <c r="R109" s="1">
        <v>1382.5</v>
      </c>
      <c r="S109" s="1">
        <v>1740</v>
      </c>
      <c r="T109" s="1">
        <v>357.5</v>
      </c>
      <c r="U109" s="1">
        <v>2316.6666666666665</v>
      </c>
      <c r="V109" s="1">
        <v>9840</v>
      </c>
      <c r="W109" s="1">
        <v>2890.6999999999994</v>
      </c>
      <c r="X109" s="1">
        <v>574.03333333333285</v>
      </c>
      <c r="AB109" s="2" t="str">
        <f t="shared" si="1"/>
        <v>PASS</v>
      </c>
      <c r="AV109" s="1"/>
      <c r="AW109" s="1"/>
      <c r="AX109" s="1"/>
    </row>
    <row r="110" spans="1:50">
      <c r="A110" s="1" t="s">
        <v>140</v>
      </c>
      <c r="B110" s="1" t="s">
        <v>24</v>
      </c>
      <c r="C110" s="2">
        <v>46258.444279039351</v>
      </c>
      <c r="D110" s="2">
        <v>46256.3571872338</v>
      </c>
      <c r="E110" s="2">
        <v>46258.385587881945</v>
      </c>
      <c r="F110" s="1" t="s">
        <v>597</v>
      </c>
      <c r="G110" s="1" t="s">
        <v>25</v>
      </c>
      <c r="H110" s="3">
        <v>45007</v>
      </c>
      <c r="I110" s="1">
        <v>5289.7449999999999</v>
      </c>
      <c r="J110" s="1">
        <v>7850</v>
      </c>
      <c r="K110" s="1">
        <v>2560.2550000000001</v>
      </c>
      <c r="L110" s="1">
        <v>2550.15</v>
      </c>
      <c r="M110" s="1">
        <v>5250</v>
      </c>
      <c r="N110" s="1">
        <v>2699.85</v>
      </c>
      <c r="O110" s="1">
        <v>166.4</v>
      </c>
      <c r="P110" s="1">
        <v>350</v>
      </c>
      <c r="Q110" s="1">
        <v>183.60000000000002</v>
      </c>
      <c r="R110" s="1">
        <v>1793.3333333333333</v>
      </c>
      <c r="S110" s="1">
        <v>2180</v>
      </c>
      <c r="T110" s="1">
        <v>386.66666666666674</v>
      </c>
      <c r="U110" s="1">
        <v>2316.6666666666665</v>
      </c>
      <c r="V110" s="1">
        <v>15630</v>
      </c>
      <c r="W110" s="1">
        <v>5830.3716666666669</v>
      </c>
      <c r="X110" s="1">
        <v>3513.7050000000004</v>
      </c>
      <c r="AB110" s="2" t="str">
        <f t="shared" si="1"/>
        <v>PASS</v>
      </c>
      <c r="AV110" s="1"/>
      <c r="AW110" s="1"/>
      <c r="AX110" s="1"/>
    </row>
    <row r="111" spans="1:50">
      <c r="A111" s="1" t="s">
        <v>141</v>
      </c>
      <c r="B111" s="1" t="s">
        <v>24</v>
      </c>
      <c r="C111" s="2">
        <v>46258.444280983793</v>
      </c>
      <c r="D111" s="2">
        <v>46256.357665173608</v>
      </c>
      <c r="E111" s="2">
        <v>46258.385588101854</v>
      </c>
      <c r="F111" s="1" t="s">
        <v>597</v>
      </c>
      <c r="G111" s="1" t="s">
        <v>25</v>
      </c>
      <c r="H111" s="3">
        <v>45008</v>
      </c>
      <c r="I111" s="1">
        <v>3841.4249999999984</v>
      </c>
      <c r="J111" s="1">
        <v>1600</v>
      </c>
      <c r="K111" s="1">
        <v>-2241.4249999999988</v>
      </c>
      <c r="L111" s="1">
        <v>564.14999999999975</v>
      </c>
      <c r="M111" s="1">
        <v>1250</v>
      </c>
      <c r="N111" s="1">
        <v>685.85000000000025</v>
      </c>
      <c r="O111" s="1">
        <v>218</v>
      </c>
      <c r="P111" s="1">
        <v>600</v>
      </c>
      <c r="Q111" s="1">
        <v>382</v>
      </c>
      <c r="R111" s="1">
        <v>220.83333333333331</v>
      </c>
      <c r="S111" s="1">
        <v>280</v>
      </c>
      <c r="T111" s="1">
        <v>59.166666666666686</v>
      </c>
      <c r="U111" s="1">
        <v>2316.6666666666665</v>
      </c>
      <c r="V111" s="1">
        <v>3730</v>
      </c>
      <c r="W111" s="1">
        <v>-1114.4083333333317</v>
      </c>
      <c r="X111" s="1">
        <v>-3431.074999999998</v>
      </c>
      <c r="AB111" s="2" t="str">
        <f t="shared" si="1"/>
        <v>PASS</v>
      </c>
      <c r="AV111" s="1"/>
      <c r="AW111" s="1"/>
      <c r="AX111" s="1"/>
    </row>
    <row r="112" spans="1:50">
      <c r="A112" s="1" t="s">
        <v>142</v>
      </c>
      <c r="B112" s="1" t="s">
        <v>24</v>
      </c>
      <c r="C112" s="2">
        <v>46258.444282835648</v>
      </c>
      <c r="D112" s="2">
        <v>46256.357774340278</v>
      </c>
      <c r="E112" s="2">
        <v>46258.385588240744</v>
      </c>
      <c r="F112" s="1" t="s">
        <v>597</v>
      </c>
      <c r="G112" s="1" t="s">
        <v>25</v>
      </c>
      <c r="H112" s="3">
        <v>45009</v>
      </c>
      <c r="I112" s="1">
        <v>1103.4350000000013</v>
      </c>
      <c r="J112" s="1">
        <v>2790</v>
      </c>
      <c r="K112" s="1">
        <v>1686.5649999999987</v>
      </c>
      <c r="L112" s="1">
        <v>638.80000000000007</v>
      </c>
      <c r="M112" s="1">
        <v>1250</v>
      </c>
      <c r="N112" s="1">
        <v>611.19999999999993</v>
      </c>
      <c r="O112" s="1">
        <v>122</v>
      </c>
      <c r="P112" s="1">
        <v>450</v>
      </c>
      <c r="Q112" s="1">
        <v>328</v>
      </c>
      <c r="R112" s="1">
        <v>819.16666666666652</v>
      </c>
      <c r="S112" s="1">
        <v>1040</v>
      </c>
      <c r="T112" s="1">
        <v>220.83333333333337</v>
      </c>
      <c r="U112" s="1">
        <v>2316.6666666666665</v>
      </c>
      <c r="V112" s="1">
        <v>5530</v>
      </c>
      <c r="W112" s="1">
        <v>2846.598333333332</v>
      </c>
      <c r="X112" s="1">
        <v>529.93166666666548</v>
      </c>
      <c r="AB112" s="2" t="str">
        <f t="shared" si="1"/>
        <v>PASS</v>
      </c>
      <c r="AV112" s="1"/>
      <c r="AW112" s="1"/>
      <c r="AX112" s="1"/>
    </row>
    <row r="113" spans="1:50">
      <c r="A113" s="1" t="s">
        <v>143</v>
      </c>
      <c r="B113" s="1" t="s">
        <v>24</v>
      </c>
      <c r="C113" s="2">
        <v>46258.444284618054</v>
      </c>
      <c r="D113" s="2">
        <v>46256.364095567129</v>
      </c>
      <c r="E113" s="2">
        <v>46258.385588321762</v>
      </c>
      <c r="F113" s="1" t="s">
        <v>597</v>
      </c>
      <c r="G113" s="1" t="s">
        <v>25</v>
      </c>
      <c r="H113" s="3">
        <v>45010</v>
      </c>
      <c r="I113" s="1">
        <v>2003.1949999999997</v>
      </c>
      <c r="J113" s="1">
        <v>3740</v>
      </c>
      <c r="K113" s="1">
        <v>1736.8050000000003</v>
      </c>
      <c r="L113" s="1">
        <v>331.95000000000016</v>
      </c>
      <c r="M113" s="1">
        <v>750</v>
      </c>
      <c r="N113" s="1">
        <v>418.04999999999984</v>
      </c>
      <c r="O113" s="1">
        <v>90</v>
      </c>
      <c r="P113" s="1">
        <v>0</v>
      </c>
      <c r="Q113" s="1">
        <v>-90</v>
      </c>
      <c r="R113" s="1">
        <v>1252.4999999999998</v>
      </c>
      <c r="S113" s="1">
        <v>1460</v>
      </c>
      <c r="T113" s="1">
        <v>207.50000000000023</v>
      </c>
      <c r="U113" s="1">
        <v>2316.6666666666665</v>
      </c>
      <c r="V113" s="1">
        <v>5950</v>
      </c>
      <c r="W113" s="1">
        <v>2272.3550000000005</v>
      </c>
      <c r="X113" s="1">
        <v>-44.311666666666042</v>
      </c>
      <c r="AB113" s="2" t="str">
        <f t="shared" si="1"/>
        <v>PASS</v>
      </c>
      <c r="AV113" s="1"/>
      <c r="AW113" s="1"/>
      <c r="AX113" s="1"/>
    </row>
    <row r="114" spans="1:50">
      <c r="A114" s="1" t="s">
        <v>144</v>
      </c>
      <c r="B114" s="1" t="s">
        <v>24</v>
      </c>
      <c r="C114" s="2">
        <v>46258.444286666665</v>
      </c>
      <c r="D114" s="2">
        <v>46256.357871875</v>
      </c>
      <c r="E114" s="2">
        <v>46258.385588483798</v>
      </c>
      <c r="F114" s="1" t="s">
        <v>597</v>
      </c>
      <c r="G114" s="1" t="s">
        <v>25</v>
      </c>
      <c r="H114" s="3">
        <v>45011</v>
      </c>
      <c r="I114" s="1">
        <v>2551.9899999999993</v>
      </c>
      <c r="J114" s="1">
        <v>3140</v>
      </c>
      <c r="K114" s="1">
        <v>588.01000000000067</v>
      </c>
      <c r="L114" s="1">
        <v>234.30000000000013</v>
      </c>
      <c r="M114" s="1">
        <v>500</v>
      </c>
      <c r="N114" s="1">
        <v>265.69999999999987</v>
      </c>
      <c r="O114" s="1">
        <v>90</v>
      </c>
      <c r="P114" s="1">
        <v>0</v>
      </c>
      <c r="Q114" s="1">
        <v>-90</v>
      </c>
      <c r="R114" s="1">
        <v>1090</v>
      </c>
      <c r="S114" s="1">
        <v>1360</v>
      </c>
      <c r="T114" s="1">
        <v>270</v>
      </c>
      <c r="U114" s="1">
        <v>2316.6666666666665</v>
      </c>
      <c r="V114" s="1">
        <v>5000</v>
      </c>
      <c r="W114" s="1">
        <v>1033.7100000000005</v>
      </c>
      <c r="X114" s="1">
        <v>-1282.956666666666</v>
      </c>
      <c r="AB114" s="2" t="str">
        <f t="shared" si="1"/>
        <v>PASS</v>
      </c>
      <c r="AV114" s="1"/>
      <c r="AW114" s="1"/>
      <c r="AX114" s="1"/>
    </row>
    <row r="115" spans="1:50">
      <c r="A115" s="1" t="s">
        <v>145</v>
      </c>
      <c r="B115" s="1" t="s">
        <v>24</v>
      </c>
      <c r="C115" s="2">
        <v>46258.444288344908</v>
      </c>
      <c r="D115" s="2">
        <v>46256.3579334838</v>
      </c>
      <c r="E115" s="2">
        <v>46258.385588657409</v>
      </c>
      <c r="F115" s="1" t="s">
        <v>597</v>
      </c>
      <c r="G115" s="1" t="s">
        <v>25</v>
      </c>
      <c r="H115" s="3">
        <v>45012</v>
      </c>
      <c r="I115" s="1">
        <v>1744.7349999999999</v>
      </c>
      <c r="J115" s="1">
        <v>2280</v>
      </c>
      <c r="K115" s="1">
        <v>535.26499999999987</v>
      </c>
      <c r="L115" s="1">
        <v>337.5</v>
      </c>
      <c r="M115" s="1">
        <v>500</v>
      </c>
      <c r="N115" s="1">
        <v>162.5</v>
      </c>
      <c r="O115" s="1">
        <v>90</v>
      </c>
      <c r="P115" s="1">
        <v>0</v>
      </c>
      <c r="Q115" s="1">
        <v>-90</v>
      </c>
      <c r="R115" s="1">
        <v>884.16666666666674</v>
      </c>
      <c r="S115" s="1">
        <v>1120</v>
      </c>
      <c r="T115" s="1">
        <v>235.83333333333329</v>
      </c>
      <c r="U115" s="1">
        <v>2316.6666666666665</v>
      </c>
      <c r="V115" s="1">
        <v>3900</v>
      </c>
      <c r="W115" s="1">
        <v>843.59833333333313</v>
      </c>
      <c r="X115" s="1">
        <v>-1473.0683333333334</v>
      </c>
      <c r="AB115" s="2" t="str">
        <f t="shared" si="1"/>
        <v>PASS</v>
      </c>
      <c r="AV115" s="1"/>
      <c r="AW115" s="1"/>
      <c r="AX115" s="1"/>
    </row>
    <row r="116" spans="1:50">
      <c r="A116" s="1" t="s">
        <v>146</v>
      </c>
      <c r="B116" s="1" t="s">
        <v>24</v>
      </c>
      <c r="C116" s="2">
        <v>46258.444290011576</v>
      </c>
      <c r="D116" s="2">
        <v>46256.357993877318</v>
      </c>
      <c r="E116" s="2">
        <v>46258.385588865742</v>
      </c>
      <c r="F116" s="1" t="s">
        <v>597</v>
      </c>
      <c r="G116" s="1" t="s">
        <v>25</v>
      </c>
      <c r="H116" s="3">
        <v>45013</v>
      </c>
      <c r="I116" s="1">
        <v>1504.38</v>
      </c>
      <c r="J116" s="1">
        <v>1730</v>
      </c>
      <c r="K116" s="1">
        <v>225.62000000000012</v>
      </c>
      <c r="L116" s="1">
        <v>877.2</v>
      </c>
      <c r="M116" s="1">
        <v>1750</v>
      </c>
      <c r="N116" s="1">
        <v>872.8</v>
      </c>
      <c r="O116" s="1">
        <v>90</v>
      </c>
      <c r="P116" s="1">
        <v>0</v>
      </c>
      <c r="Q116" s="1">
        <v>-90</v>
      </c>
      <c r="R116" s="1">
        <v>855</v>
      </c>
      <c r="S116" s="1">
        <v>1080</v>
      </c>
      <c r="T116" s="1">
        <v>225</v>
      </c>
      <c r="U116" s="1">
        <v>2316.6666666666665</v>
      </c>
      <c r="V116" s="1">
        <v>4560</v>
      </c>
      <c r="W116" s="1">
        <v>1233.42</v>
      </c>
      <c r="X116" s="1">
        <v>-1083.2466666666664</v>
      </c>
      <c r="AB116" s="2" t="str">
        <f t="shared" si="1"/>
        <v>PASS</v>
      </c>
      <c r="AV116" s="1"/>
      <c r="AW116" s="1"/>
      <c r="AX116" s="1"/>
    </row>
    <row r="117" spans="1:50">
      <c r="A117" s="1" t="s">
        <v>147</v>
      </c>
      <c r="B117" s="1" t="s">
        <v>24</v>
      </c>
      <c r="C117" s="2">
        <v>46258.444291736108</v>
      </c>
      <c r="D117" s="2">
        <v>46256.358063333333</v>
      </c>
      <c r="E117" s="2">
        <v>46258.385589074074</v>
      </c>
      <c r="F117" s="1" t="s">
        <v>597</v>
      </c>
      <c r="G117" s="1" t="s">
        <v>25</v>
      </c>
      <c r="H117" s="3">
        <v>45014</v>
      </c>
      <c r="I117" s="1">
        <v>2584.0700000000006</v>
      </c>
      <c r="J117" s="1">
        <v>2970</v>
      </c>
      <c r="K117" s="1">
        <v>385.92999999999938</v>
      </c>
      <c r="L117" s="1">
        <v>282.75000000000011</v>
      </c>
      <c r="M117" s="1">
        <v>500</v>
      </c>
      <c r="N117" s="1">
        <v>217.24999999999989</v>
      </c>
      <c r="O117" s="1">
        <v>0</v>
      </c>
      <c r="P117" s="1">
        <v>0</v>
      </c>
      <c r="Q117" s="1">
        <v>0</v>
      </c>
      <c r="R117" s="1">
        <v>668.33333333333326</v>
      </c>
      <c r="S117" s="1">
        <v>840</v>
      </c>
      <c r="T117" s="1">
        <v>171.66666666666674</v>
      </c>
      <c r="U117" s="1">
        <v>2316.6666666666665</v>
      </c>
      <c r="V117" s="1">
        <v>4310</v>
      </c>
      <c r="W117" s="1">
        <v>774.84666666666612</v>
      </c>
      <c r="X117" s="1">
        <v>-1541.8200000000006</v>
      </c>
      <c r="AB117" s="2" t="str">
        <f t="shared" si="1"/>
        <v>PASS</v>
      </c>
      <c r="AV117" s="1"/>
      <c r="AW117" s="1"/>
      <c r="AX117" s="1"/>
    </row>
    <row r="118" spans="1:50">
      <c r="A118" s="1" t="s">
        <v>148</v>
      </c>
      <c r="B118" s="1" t="s">
        <v>24</v>
      </c>
      <c r="C118" s="2">
        <v>46258.444293287037</v>
      </c>
      <c r="D118" s="2">
        <v>46256.358136273149</v>
      </c>
      <c r="E118" s="2">
        <v>46258.385589155092</v>
      </c>
      <c r="F118" s="1" t="s">
        <v>597</v>
      </c>
      <c r="G118" s="1" t="s">
        <v>25</v>
      </c>
      <c r="H118" s="3">
        <v>45015</v>
      </c>
      <c r="I118" s="1">
        <v>2709.94</v>
      </c>
      <c r="J118" s="1">
        <v>2500</v>
      </c>
      <c r="K118" s="1">
        <v>-209.94000000000003</v>
      </c>
      <c r="L118" s="1">
        <v>1078.4000000000001</v>
      </c>
      <c r="M118" s="1">
        <v>2680</v>
      </c>
      <c r="N118" s="1">
        <v>1601.6</v>
      </c>
      <c r="O118" s="1">
        <v>0</v>
      </c>
      <c r="P118" s="1">
        <v>0</v>
      </c>
      <c r="Q118" s="1">
        <v>0</v>
      </c>
      <c r="R118" s="1">
        <v>481.66666666666663</v>
      </c>
      <c r="S118" s="1">
        <v>620</v>
      </c>
      <c r="T118" s="1">
        <v>138.33333333333337</v>
      </c>
      <c r="U118" s="1">
        <v>2316.6666666666665</v>
      </c>
      <c r="V118" s="1">
        <v>5800</v>
      </c>
      <c r="W118" s="1">
        <v>1529.9933333333331</v>
      </c>
      <c r="X118" s="1">
        <v>-786.67333333333318</v>
      </c>
      <c r="AB118" s="2" t="str">
        <f t="shared" si="1"/>
        <v>PASS</v>
      </c>
      <c r="AV118" s="1"/>
      <c r="AW118" s="1"/>
      <c r="AX118" s="1"/>
    </row>
    <row r="119" spans="1:50">
      <c r="A119" s="1" t="s">
        <v>149</v>
      </c>
      <c r="B119" s="1" t="s">
        <v>24</v>
      </c>
      <c r="C119" s="2">
        <v>46258.444294849534</v>
      </c>
      <c r="D119" s="2">
        <v>46256.358203854164</v>
      </c>
      <c r="E119" s="2">
        <v>46258.385589375001</v>
      </c>
      <c r="F119" s="1" t="s">
        <v>597</v>
      </c>
      <c r="G119" s="1" t="s">
        <v>25</v>
      </c>
      <c r="H119" s="3">
        <v>45016</v>
      </c>
      <c r="I119" s="1">
        <v>1695.7800000000009</v>
      </c>
      <c r="J119" s="1">
        <v>2660</v>
      </c>
      <c r="K119" s="1">
        <v>964.219999999999</v>
      </c>
      <c r="L119" s="1">
        <v>948.65</v>
      </c>
      <c r="M119" s="1">
        <v>2250</v>
      </c>
      <c r="N119" s="1">
        <v>1301.3499999999999</v>
      </c>
      <c r="O119" s="1">
        <v>0</v>
      </c>
      <c r="P119" s="1">
        <v>0</v>
      </c>
      <c r="Q119" s="1">
        <v>0</v>
      </c>
      <c r="R119" s="1">
        <v>911.66666666666652</v>
      </c>
      <c r="S119" s="1">
        <v>1140</v>
      </c>
      <c r="T119" s="1">
        <v>228.33333333333337</v>
      </c>
      <c r="U119" s="1">
        <v>2316.6666666666665</v>
      </c>
      <c r="V119" s="1">
        <v>6050</v>
      </c>
      <c r="W119" s="1">
        <v>2493.9033333333323</v>
      </c>
      <c r="X119" s="1">
        <v>177.23666666666577</v>
      </c>
      <c r="AB119" s="2" t="str">
        <f t="shared" si="1"/>
        <v>PASS</v>
      </c>
      <c r="AV119" s="1"/>
      <c r="AW119" s="1"/>
      <c r="AX119" s="1"/>
    </row>
    <row r="120" spans="1:50">
      <c r="A120" s="1" t="s">
        <v>29</v>
      </c>
      <c r="B120" s="1" t="s">
        <v>24</v>
      </c>
      <c r="C120" s="2">
        <v>46258.444153877317</v>
      </c>
      <c r="D120" s="2">
        <v>46256.358730428241</v>
      </c>
      <c r="E120" s="2">
        <v>46258.385552766202</v>
      </c>
      <c r="F120" s="1" t="s">
        <v>598</v>
      </c>
      <c r="G120" s="1" t="s">
        <v>25</v>
      </c>
      <c r="H120" s="3">
        <v>45017</v>
      </c>
      <c r="I120" s="1">
        <v>2618.494999999999</v>
      </c>
      <c r="J120" s="1">
        <v>2620</v>
      </c>
      <c r="K120" s="1">
        <v>1.5050000000010186</v>
      </c>
      <c r="L120" s="1">
        <v>410.24999999999994</v>
      </c>
      <c r="M120" s="1">
        <v>1000</v>
      </c>
      <c r="N120" s="1">
        <v>589.75</v>
      </c>
      <c r="O120" s="1">
        <v>0</v>
      </c>
      <c r="P120" s="1">
        <v>0</v>
      </c>
      <c r="Q120" s="1">
        <v>0</v>
      </c>
      <c r="R120" s="1">
        <v>279.16666666666669</v>
      </c>
      <c r="S120" s="1">
        <v>360</v>
      </c>
      <c r="T120" s="1">
        <v>80.833333333333314</v>
      </c>
      <c r="U120" s="1">
        <v>2316.6666666666665</v>
      </c>
      <c r="V120" s="1">
        <v>3980</v>
      </c>
      <c r="W120" s="1">
        <v>672.08833333333428</v>
      </c>
      <c r="X120" s="1">
        <v>-1644.5783333333322</v>
      </c>
      <c r="AB120" s="2" t="str">
        <f t="shared" si="1"/>
        <v>PASS</v>
      </c>
      <c r="AV120" s="1"/>
      <c r="AW120" s="1"/>
      <c r="AX120" s="1"/>
    </row>
    <row r="121" spans="1:50">
      <c r="A121" s="1" t="s">
        <v>30</v>
      </c>
      <c r="B121" s="1" t="s">
        <v>24</v>
      </c>
      <c r="C121" s="2">
        <v>46258.444155555553</v>
      </c>
      <c r="D121" s="2">
        <v>46256.358812326391</v>
      </c>
      <c r="E121" s="2">
        <v>46258.38555324074</v>
      </c>
      <c r="F121" s="1" t="s">
        <v>598</v>
      </c>
      <c r="G121" s="1" t="s">
        <v>25</v>
      </c>
      <c r="H121" s="3">
        <v>45018</v>
      </c>
      <c r="I121" s="1">
        <v>1810.1199999999983</v>
      </c>
      <c r="J121" s="1">
        <v>2460</v>
      </c>
      <c r="K121" s="1">
        <v>649.88000000000147</v>
      </c>
      <c r="L121" s="1">
        <v>346.19999999999993</v>
      </c>
      <c r="M121" s="1">
        <v>750</v>
      </c>
      <c r="N121" s="1">
        <v>403.80000000000007</v>
      </c>
      <c r="O121" s="1">
        <v>0</v>
      </c>
      <c r="P121" s="1">
        <v>0</v>
      </c>
      <c r="Q121" s="1">
        <v>0</v>
      </c>
      <c r="R121" s="1">
        <v>597.5</v>
      </c>
      <c r="S121" s="1">
        <v>740</v>
      </c>
      <c r="T121" s="1">
        <v>142.5</v>
      </c>
      <c r="U121" s="1">
        <v>2316.6666666666665</v>
      </c>
      <c r="V121" s="1">
        <v>3950</v>
      </c>
      <c r="W121" s="1">
        <v>1196.1800000000017</v>
      </c>
      <c r="X121" s="1">
        <v>-1120.4866666666649</v>
      </c>
      <c r="AB121" s="2" t="str">
        <f t="shared" si="1"/>
        <v>PASS</v>
      </c>
      <c r="AV121" s="1"/>
      <c r="AW121" s="1"/>
      <c r="AX121" s="1"/>
    </row>
    <row r="122" spans="1:50">
      <c r="A122" s="1" t="s">
        <v>31</v>
      </c>
      <c r="B122" s="1" t="s">
        <v>24</v>
      </c>
      <c r="C122" s="2">
        <v>46258.444157303238</v>
      </c>
      <c r="D122" s="2">
        <v>46256.358881296299</v>
      </c>
      <c r="E122" s="2">
        <v>46258.385553703702</v>
      </c>
      <c r="F122" s="1" t="s">
        <v>598</v>
      </c>
      <c r="G122" s="1" t="s">
        <v>25</v>
      </c>
      <c r="H122" s="3">
        <v>45019</v>
      </c>
      <c r="I122" s="1">
        <v>2147.7200000000003</v>
      </c>
      <c r="J122" s="1">
        <v>2530</v>
      </c>
      <c r="K122" s="1">
        <v>382.27999999999975</v>
      </c>
      <c r="L122" s="1">
        <v>1608.0500000000002</v>
      </c>
      <c r="M122" s="1">
        <v>3000</v>
      </c>
      <c r="N122" s="1">
        <v>1391.9499999999998</v>
      </c>
      <c r="O122" s="1">
        <v>90</v>
      </c>
      <c r="P122" s="1">
        <v>900</v>
      </c>
      <c r="Q122" s="1">
        <v>810</v>
      </c>
      <c r="R122" s="1">
        <v>727.5</v>
      </c>
      <c r="S122" s="1">
        <v>910</v>
      </c>
      <c r="T122" s="1">
        <v>182.5</v>
      </c>
      <c r="U122" s="1">
        <v>2316.6666666666665</v>
      </c>
      <c r="V122" s="1">
        <v>7340</v>
      </c>
      <c r="W122" s="1">
        <v>2766.7299999999996</v>
      </c>
      <c r="X122" s="1">
        <v>450.06333333333305</v>
      </c>
      <c r="AB122" s="2" t="str">
        <f t="shared" si="1"/>
        <v>PASS</v>
      </c>
      <c r="AV122" s="1"/>
      <c r="AW122" s="1"/>
      <c r="AX122" s="1"/>
    </row>
    <row r="123" spans="1:50">
      <c r="A123" s="1" t="s">
        <v>32</v>
      </c>
      <c r="B123" s="1" t="s">
        <v>24</v>
      </c>
      <c r="C123" s="2">
        <v>46258.444158726852</v>
      </c>
      <c r="D123" s="2">
        <v>46256.358978576391</v>
      </c>
      <c r="E123" s="2">
        <v>46258.385553958331</v>
      </c>
      <c r="F123" s="1" t="s">
        <v>598</v>
      </c>
      <c r="G123" s="1" t="s">
        <v>25</v>
      </c>
      <c r="H123" s="3">
        <v>45020</v>
      </c>
      <c r="I123" s="1">
        <v>3060.8000000000011</v>
      </c>
      <c r="J123" s="1">
        <v>2130</v>
      </c>
      <c r="K123" s="1">
        <v>-930.80000000000109</v>
      </c>
      <c r="L123" s="1">
        <v>1091.2</v>
      </c>
      <c r="M123" s="1">
        <v>1750</v>
      </c>
      <c r="N123" s="1">
        <v>658.8</v>
      </c>
      <c r="O123" s="1">
        <v>150</v>
      </c>
      <c r="P123" s="1">
        <v>1500</v>
      </c>
      <c r="Q123" s="1">
        <v>1350</v>
      </c>
      <c r="R123" s="1">
        <v>996.66666666666652</v>
      </c>
      <c r="S123" s="1">
        <v>1260</v>
      </c>
      <c r="T123" s="1">
        <v>263.33333333333337</v>
      </c>
      <c r="U123" s="1">
        <v>2316.6666666666665</v>
      </c>
      <c r="V123" s="1">
        <v>6640</v>
      </c>
      <c r="W123" s="1">
        <v>1341.3333333333319</v>
      </c>
      <c r="X123" s="1">
        <v>-975.33333333333439</v>
      </c>
      <c r="AB123" s="2" t="str">
        <f t="shared" si="1"/>
        <v>PASS</v>
      </c>
      <c r="AV123" s="1"/>
      <c r="AW123" s="1"/>
      <c r="AX123" s="1"/>
    </row>
    <row r="124" spans="1:50">
      <c r="A124" s="1" t="s">
        <v>150</v>
      </c>
      <c r="B124" s="1" t="s">
        <v>24</v>
      </c>
      <c r="C124" s="2">
        <v>46258.444159976854</v>
      </c>
      <c r="D124" s="2">
        <v>46256.36480166667</v>
      </c>
      <c r="E124" s="2">
        <v>46258.385554062501</v>
      </c>
      <c r="F124" s="1" t="s">
        <v>598</v>
      </c>
      <c r="G124" s="1" t="s">
        <v>25</v>
      </c>
      <c r="H124" s="3">
        <v>45021</v>
      </c>
      <c r="I124" s="1">
        <v>2397.4899999999993</v>
      </c>
      <c r="J124" s="1">
        <v>2420</v>
      </c>
      <c r="K124" s="1">
        <v>22.510000000000673</v>
      </c>
      <c r="L124" s="1">
        <v>283.90000000000003</v>
      </c>
      <c r="M124" s="1">
        <v>500</v>
      </c>
      <c r="N124" s="1">
        <v>216.09999999999997</v>
      </c>
      <c r="O124" s="1">
        <v>0</v>
      </c>
      <c r="P124" s="1">
        <v>0</v>
      </c>
      <c r="Q124" s="1">
        <v>0</v>
      </c>
      <c r="R124" s="1">
        <v>353.33333333333331</v>
      </c>
      <c r="S124" s="1">
        <v>490</v>
      </c>
      <c r="T124" s="1">
        <v>136.66666666666669</v>
      </c>
      <c r="U124" s="1">
        <v>2316.6666666666665</v>
      </c>
      <c r="V124" s="1">
        <v>3410</v>
      </c>
      <c r="W124" s="1">
        <v>375.27666666666738</v>
      </c>
      <c r="X124" s="1">
        <v>-1941.3899999999992</v>
      </c>
      <c r="AB124" s="2" t="str">
        <f t="shared" si="1"/>
        <v>PASS</v>
      </c>
      <c r="AV124" s="1"/>
      <c r="AW124" s="1"/>
      <c r="AX124" s="1"/>
    </row>
    <row r="125" spans="1:50">
      <c r="A125" s="1" t="s">
        <v>151</v>
      </c>
      <c r="B125" s="1" t="s">
        <v>24</v>
      </c>
      <c r="C125" s="2">
        <v>46258.444161296298</v>
      </c>
      <c r="D125" s="2">
        <v>46256.364861203707</v>
      </c>
      <c r="E125" s="2">
        <v>46258.385554224536</v>
      </c>
      <c r="F125" s="1" t="s">
        <v>598</v>
      </c>
      <c r="G125" s="1" t="s">
        <v>25</v>
      </c>
      <c r="H125" s="3">
        <v>45022</v>
      </c>
      <c r="I125" s="1">
        <v>1980.5800000000008</v>
      </c>
      <c r="J125" s="1">
        <v>2120</v>
      </c>
      <c r="K125" s="1">
        <v>139.41999999999939</v>
      </c>
      <c r="L125" s="1">
        <v>471.95</v>
      </c>
      <c r="M125" s="1">
        <v>1000</v>
      </c>
      <c r="N125" s="1">
        <v>528.04999999999995</v>
      </c>
      <c r="O125" s="1">
        <v>0</v>
      </c>
      <c r="P125" s="1">
        <v>0</v>
      </c>
      <c r="Q125" s="1">
        <v>0</v>
      </c>
      <c r="R125" s="1">
        <v>378.33333333333337</v>
      </c>
      <c r="S125" s="1">
        <v>490</v>
      </c>
      <c r="T125" s="1">
        <v>111.66666666666664</v>
      </c>
      <c r="U125" s="1">
        <v>2316.6666666666665</v>
      </c>
      <c r="V125" s="1">
        <v>3610</v>
      </c>
      <c r="W125" s="1">
        <v>779.13666666666597</v>
      </c>
      <c r="X125" s="1">
        <v>-1537.5300000000009</v>
      </c>
      <c r="AB125" s="2" t="str">
        <f t="shared" si="1"/>
        <v>PASS</v>
      </c>
      <c r="AV125" s="1"/>
      <c r="AW125" s="1"/>
      <c r="AX125" s="1"/>
    </row>
    <row r="126" spans="1:50">
      <c r="A126" s="1" t="s">
        <v>152</v>
      </c>
      <c r="B126" s="1" t="s">
        <v>24</v>
      </c>
      <c r="C126" s="2">
        <v>46258.444162708336</v>
      </c>
      <c r="D126" s="2">
        <v>46256.359206712965</v>
      </c>
      <c r="E126" s="2">
        <v>46258.385554629633</v>
      </c>
      <c r="F126" s="1" t="s">
        <v>598</v>
      </c>
      <c r="G126" s="1" t="s">
        <v>25</v>
      </c>
      <c r="H126" s="3">
        <v>45023</v>
      </c>
      <c r="I126" s="1">
        <v>2258.58</v>
      </c>
      <c r="J126" s="1">
        <v>3700</v>
      </c>
      <c r="K126" s="1">
        <v>1441.42</v>
      </c>
      <c r="L126" s="1">
        <v>371.84999999999985</v>
      </c>
      <c r="M126" s="1">
        <v>250</v>
      </c>
      <c r="N126" s="1">
        <v>-121.84999999999984</v>
      </c>
      <c r="O126" s="1">
        <v>35</v>
      </c>
      <c r="P126" s="1">
        <v>550</v>
      </c>
      <c r="Q126" s="1">
        <v>515</v>
      </c>
      <c r="R126" s="1">
        <v>883.33333333333326</v>
      </c>
      <c r="S126" s="1">
        <v>1100</v>
      </c>
      <c r="T126" s="1">
        <v>216.66666666666671</v>
      </c>
      <c r="U126" s="1">
        <v>2316.6666666666665</v>
      </c>
      <c r="V126" s="1">
        <v>5600</v>
      </c>
      <c r="W126" s="1">
        <v>2051.2366666666667</v>
      </c>
      <c r="X126" s="1">
        <v>-265.42999999999984</v>
      </c>
      <c r="AB126" s="2" t="str">
        <f t="shared" si="1"/>
        <v>PASS</v>
      </c>
      <c r="AV126" s="1"/>
      <c r="AW126" s="1"/>
      <c r="AX126" s="1"/>
    </row>
    <row r="127" spans="1:50">
      <c r="A127" s="1" t="s">
        <v>153</v>
      </c>
      <c r="B127" s="1" t="s">
        <v>24</v>
      </c>
      <c r="C127" s="2">
        <v>46258.444164097222</v>
      </c>
      <c r="D127" s="2">
        <v>46256.359276180556</v>
      </c>
      <c r="E127" s="2">
        <v>46258.385555034722</v>
      </c>
      <c r="F127" s="1" t="s">
        <v>598</v>
      </c>
      <c r="G127" s="1" t="s">
        <v>25</v>
      </c>
      <c r="H127" s="3">
        <v>45024</v>
      </c>
      <c r="I127" s="1">
        <v>1979.7500000000009</v>
      </c>
      <c r="J127" s="1">
        <v>2860</v>
      </c>
      <c r="K127" s="1">
        <v>880.24999999999932</v>
      </c>
      <c r="L127" s="1">
        <v>192.95</v>
      </c>
      <c r="M127" s="1">
        <v>250</v>
      </c>
      <c r="N127" s="1">
        <v>57.049999999999983</v>
      </c>
      <c r="O127" s="1">
        <v>103</v>
      </c>
      <c r="P127" s="1">
        <v>350</v>
      </c>
      <c r="Q127" s="1">
        <v>247</v>
      </c>
      <c r="R127" s="1">
        <v>1283.3333333333333</v>
      </c>
      <c r="S127" s="1">
        <v>1600</v>
      </c>
      <c r="T127" s="1">
        <v>316.66666666666674</v>
      </c>
      <c r="U127" s="1">
        <v>2316.6666666666665</v>
      </c>
      <c r="V127" s="1">
        <v>5060</v>
      </c>
      <c r="W127" s="1">
        <v>1500.966666666666</v>
      </c>
      <c r="X127" s="1">
        <v>-815.7000000000005</v>
      </c>
      <c r="AB127" s="2" t="str">
        <f t="shared" si="1"/>
        <v>PASS</v>
      </c>
      <c r="AV127" s="1"/>
      <c r="AW127" s="1"/>
      <c r="AX127" s="1"/>
    </row>
    <row r="128" spans="1:50">
      <c r="A128" s="1" t="s">
        <v>154</v>
      </c>
      <c r="B128" s="1" t="s">
        <v>24</v>
      </c>
      <c r="C128" s="2">
        <v>46258.444165752313</v>
      </c>
      <c r="D128" s="2">
        <v>45026.112356226855</v>
      </c>
      <c r="E128" s="2">
        <v>46258.385555347224</v>
      </c>
      <c r="F128" s="1" t="s">
        <v>598</v>
      </c>
      <c r="G128" s="1" t="s">
        <v>25</v>
      </c>
      <c r="H128" s="3">
        <v>45025</v>
      </c>
      <c r="I128" s="1">
        <v>2459.6350000000002</v>
      </c>
      <c r="J128" s="1">
        <v>2590</v>
      </c>
      <c r="K128" s="1">
        <v>130.36500000000024</v>
      </c>
      <c r="L128" s="1">
        <v>1264.4000000000001</v>
      </c>
      <c r="M128" s="1">
        <v>2070</v>
      </c>
      <c r="N128" s="1">
        <v>805.60000000000014</v>
      </c>
      <c r="O128" s="1">
        <v>0</v>
      </c>
      <c r="P128" s="1">
        <v>900</v>
      </c>
      <c r="Q128" s="1">
        <v>900</v>
      </c>
      <c r="R128" s="1">
        <v>655.83333333333326</v>
      </c>
      <c r="S128" s="1">
        <v>850</v>
      </c>
      <c r="T128" s="1">
        <v>194.16666666666671</v>
      </c>
      <c r="U128" s="1">
        <v>2316.6666666666665</v>
      </c>
      <c r="V128" s="1">
        <v>6410</v>
      </c>
      <c r="W128" s="1">
        <v>2030.1316666666671</v>
      </c>
      <c r="X128" s="1">
        <v>-286.5349999999994</v>
      </c>
      <c r="AB128" s="2" t="str">
        <f t="shared" si="1"/>
        <v>PASS</v>
      </c>
      <c r="AV128" s="1"/>
      <c r="AW128" s="1"/>
      <c r="AX128" s="1"/>
    </row>
    <row r="129" spans="1:50">
      <c r="A129" s="1" t="s">
        <v>155</v>
      </c>
      <c r="B129" s="1" t="s">
        <v>24</v>
      </c>
      <c r="C129" s="2">
        <v>46258.444167071757</v>
      </c>
      <c r="D129" s="2">
        <v>46256.364938159721</v>
      </c>
      <c r="E129" s="2">
        <v>46258.385555532404</v>
      </c>
      <c r="F129" s="1" t="s">
        <v>598</v>
      </c>
      <c r="G129" s="1" t="s">
        <v>25</v>
      </c>
      <c r="H129" s="3">
        <v>45026</v>
      </c>
      <c r="I129" s="1">
        <v>1990.4950000000008</v>
      </c>
      <c r="J129" s="1">
        <v>2410</v>
      </c>
      <c r="K129" s="1">
        <v>419.50499999999943</v>
      </c>
      <c r="L129" s="1">
        <v>913.39999999999986</v>
      </c>
      <c r="M129" s="1">
        <v>1750</v>
      </c>
      <c r="N129" s="1">
        <v>836.60000000000014</v>
      </c>
      <c r="O129" s="1">
        <v>0</v>
      </c>
      <c r="P129" s="1">
        <v>0</v>
      </c>
      <c r="Q129" s="1">
        <v>0</v>
      </c>
      <c r="R129" s="1">
        <v>1058.3333333333333</v>
      </c>
      <c r="S129" s="1">
        <v>1330</v>
      </c>
      <c r="T129" s="1">
        <v>271.66666666666674</v>
      </c>
      <c r="U129" s="1">
        <v>2316.6666666666665</v>
      </c>
      <c r="V129" s="1">
        <v>5490</v>
      </c>
      <c r="W129" s="1">
        <v>1527.7716666666663</v>
      </c>
      <c r="X129" s="1">
        <v>-788.89500000000021</v>
      </c>
      <c r="AB129" s="2" t="str">
        <f t="shared" si="1"/>
        <v>PASS</v>
      </c>
      <c r="AV129" s="1"/>
      <c r="AW129" s="1"/>
      <c r="AX129" s="1"/>
    </row>
    <row r="130" spans="1:50">
      <c r="A130" s="1" t="s">
        <v>156</v>
      </c>
      <c r="B130" s="1" t="s">
        <v>24</v>
      </c>
      <c r="C130" s="2">
        <v>46258.444168379632</v>
      </c>
      <c r="D130" s="2">
        <v>46256.365010995367</v>
      </c>
      <c r="E130" s="2">
        <v>46258.385555740744</v>
      </c>
      <c r="F130" s="1" t="s">
        <v>598</v>
      </c>
      <c r="G130" s="1" t="s">
        <v>25</v>
      </c>
      <c r="H130" s="3">
        <v>45027</v>
      </c>
      <c r="I130" s="1">
        <v>2531.5409999999988</v>
      </c>
      <c r="J130" s="1">
        <v>3200</v>
      </c>
      <c r="K130" s="1">
        <v>668.4590000000012</v>
      </c>
      <c r="L130" s="1">
        <v>871.35</v>
      </c>
      <c r="M130" s="1">
        <v>1250</v>
      </c>
      <c r="N130" s="1">
        <v>378.65</v>
      </c>
      <c r="O130" s="1">
        <v>0</v>
      </c>
      <c r="P130" s="1">
        <v>0</v>
      </c>
      <c r="Q130" s="1">
        <v>0</v>
      </c>
      <c r="R130" s="1">
        <v>1199.1666666666663</v>
      </c>
      <c r="S130" s="1">
        <v>1530</v>
      </c>
      <c r="T130" s="1">
        <v>330.83333333333348</v>
      </c>
      <c r="U130" s="1">
        <v>2316.6666666666665</v>
      </c>
      <c r="V130" s="1">
        <v>5980</v>
      </c>
      <c r="W130" s="1">
        <v>1377.9423333333348</v>
      </c>
      <c r="X130" s="1">
        <v>-938.72433333333163</v>
      </c>
      <c r="AB130" s="2" t="str">
        <f t="shared" si="1"/>
        <v>PASS</v>
      </c>
      <c r="AV130" s="1"/>
      <c r="AW130" s="1"/>
      <c r="AX130" s="1"/>
    </row>
    <row r="131" spans="1:50">
      <c r="A131" s="1" t="s">
        <v>157</v>
      </c>
      <c r="B131" s="1" t="s">
        <v>24</v>
      </c>
      <c r="C131" s="2">
        <v>46258.444169733797</v>
      </c>
      <c r="D131" s="2">
        <v>46256.365086180558</v>
      </c>
      <c r="E131" s="2">
        <v>46258.38555590278</v>
      </c>
      <c r="F131" s="1" t="s">
        <v>598</v>
      </c>
      <c r="G131" s="1" t="s">
        <v>25</v>
      </c>
      <c r="H131" s="3">
        <v>45028</v>
      </c>
      <c r="I131" s="1">
        <v>4100.9240000000009</v>
      </c>
      <c r="J131" s="1">
        <v>1330</v>
      </c>
      <c r="K131" s="1">
        <v>-2770.9240000000009</v>
      </c>
      <c r="L131" s="1">
        <v>256.90000000000003</v>
      </c>
      <c r="M131" s="1">
        <v>500</v>
      </c>
      <c r="N131" s="1">
        <v>243.09999999999997</v>
      </c>
      <c r="O131" s="1">
        <v>0</v>
      </c>
      <c r="P131" s="1">
        <v>0</v>
      </c>
      <c r="Q131" s="1">
        <v>0</v>
      </c>
      <c r="R131" s="1">
        <v>980.83333333333348</v>
      </c>
      <c r="S131" s="1">
        <v>1270</v>
      </c>
      <c r="T131" s="1">
        <v>289.16666666666663</v>
      </c>
      <c r="U131" s="1">
        <v>2316.6666666666665</v>
      </c>
      <c r="V131" s="1">
        <v>3100</v>
      </c>
      <c r="W131" s="1">
        <v>-2238.6573333333345</v>
      </c>
      <c r="X131" s="1">
        <v>-4555.3240000000005</v>
      </c>
      <c r="AB131" s="2" t="str">
        <f t="shared" ref="AB131:AB194" si="2">IF(ABS(N131-(M131-L131))&lt;0.01,"PASS","CHECK")</f>
        <v>PASS</v>
      </c>
      <c r="AV131" s="1"/>
      <c r="AW131" s="1"/>
      <c r="AX131" s="1"/>
    </row>
    <row r="132" spans="1:50">
      <c r="A132" s="1" t="s">
        <v>158</v>
      </c>
      <c r="B132" s="1" t="s">
        <v>24</v>
      </c>
      <c r="C132" s="2">
        <v>46258.44417101852</v>
      </c>
      <c r="D132" s="2">
        <v>45030.009810787036</v>
      </c>
      <c r="E132" s="2">
        <v>46258.385556331021</v>
      </c>
      <c r="F132" s="1" t="s">
        <v>598</v>
      </c>
      <c r="G132" s="1" t="s">
        <v>25</v>
      </c>
      <c r="H132" s="3">
        <v>45029</v>
      </c>
      <c r="I132" s="1">
        <v>1104.2300000000007</v>
      </c>
      <c r="J132" s="1">
        <v>3000</v>
      </c>
      <c r="K132" s="1">
        <v>1895.7699999999993</v>
      </c>
      <c r="L132" s="1">
        <v>357.25000000000017</v>
      </c>
      <c r="M132" s="1">
        <v>500</v>
      </c>
      <c r="N132" s="1">
        <v>142.74999999999983</v>
      </c>
      <c r="O132" s="1">
        <v>30</v>
      </c>
      <c r="P132" s="1">
        <v>300</v>
      </c>
      <c r="Q132" s="1">
        <v>270</v>
      </c>
      <c r="R132" s="1">
        <v>1351.6666666666663</v>
      </c>
      <c r="S132" s="1">
        <v>1760</v>
      </c>
      <c r="T132" s="1">
        <v>408.33333333333343</v>
      </c>
      <c r="U132" s="1">
        <v>2316.6666666666665</v>
      </c>
      <c r="V132" s="1">
        <v>5560</v>
      </c>
      <c r="W132" s="1">
        <v>2716.8533333333321</v>
      </c>
      <c r="X132" s="1">
        <v>400.18666666666559</v>
      </c>
      <c r="AB132" s="2" t="str">
        <f t="shared" si="2"/>
        <v>PASS</v>
      </c>
      <c r="AV132" s="1"/>
      <c r="AW132" s="1"/>
      <c r="AX132" s="1"/>
    </row>
    <row r="133" spans="1:50">
      <c r="A133" s="1" t="s">
        <v>159</v>
      </c>
      <c r="B133" s="1" t="s">
        <v>24</v>
      </c>
      <c r="C133" s="2">
        <v>46258.44417260417</v>
      </c>
      <c r="D133" s="2">
        <v>45031.019029143521</v>
      </c>
      <c r="E133" s="2">
        <v>46258.385556608795</v>
      </c>
      <c r="F133" s="1" t="s">
        <v>598</v>
      </c>
      <c r="G133" s="1" t="s">
        <v>25</v>
      </c>
      <c r="H133" s="3">
        <v>45030</v>
      </c>
      <c r="I133" s="1">
        <v>2072.0550000000003</v>
      </c>
      <c r="J133" s="1">
        <v>3180</v>
      </c>
      <c r="K133" s="1">
        <v>1107.9449999999997</v>
      </c>
      <c r="L133" s="1">
        <v>371.54999999999984</v>
      </c>
      <c r="M133" s="1">
        <v>750</v>
      </c>
      <c r="N133" s="1">
        <v>378.45000000000016</v>
      </c>
      <c r="O133" s="1">
        <v>0</v>
      </c>
      <c r="P133" s="1">
        <v>0</v>
      </c>
      <c r="Q133" s="1">
        <v>0</v>
      </c>
      <c r="R133" s="1">
        <v>1091.6666666666663</v>
      </c>
      <c r="S133" s="1">
        <v>1370</v>
      </c>
      <c r="T133" s="1">
        <v>278.33333333333348</v>
      </c>
      <c r="U133" s="1">
        <v>2316.6666666666665</v>
      </c>
      <c r="V133" s="1">
        <v>5300</v>
      </c>
      <c r="W133" s="1">
        <v>1764.7283333333337</v>
      </c>
      <c r="X133" s="1">
        <v>-551.93833333333305</v>
      </c>
      <c r="AB133" s="2" t="str">
        <f t="shared" si="2"/>
        <v>PASS</v>
      </c>
      <c r="AV133" s="1"/>
      <c r="AW133" s="1"/>
      <c r="AX133" s="1"/>
    </row>
    <row r="134" spans="1:50">
      <c r="A134" s="1" t="s">
        <v>160</v>
      </c>
      <c r="B134" s="1" t="s">
        <v>24</v>
      </c>
      <c r="C134" s="2">
        <v>46258.444173923614</v>
      </c>
      <c r="D134" s="2">
        <v>45032.066107141203</v>
      </c>
      <c r="E134" s="2">
        <v>46258.385556689813</v>
      </c>
      <c r="F134" s="1" t="s">
        <v>598</v>
      </c>
      <c r="G134" s="1" t="s">
        <v>25</v>
      </c>
      <c r="H134" s="3">
        <v>45031</v>
      </c>
      <c r="I134" s="1">
        <v>2418.625</v>
      </c>
      <c r="J134" s="1">
        <v>2170</v>
      </c>
      <c r="K134" s="1">
        <v>-248.625</v>
      </c>
      <c r="L134" s="1">
        <v>0</v>
      </c>
      <c r="M134" s="1">
        <v>0</v>
      </c>
      <c r="N134" s="1">
        <v>0</v>
      </c>
      <c r="O134" s="1">
        <v>0</v>
      </c>
      <c r="P134" s="1">
        <v>0</v>
      </c>
      <c r="Q134" s="1">
        <v>0</v>
      </c>
      <c r="R134" s="1">
        <v>215.83333333333331</v>
      </c>
      <c r="S134" s="1">
        <v>210</v>
      </c>
      <c r="T134" s="1">
        <v>-5.8333333333333144</v>
      </c>
      <c r="U134" s="1">
        <v>2316.6666666666665</v>
      </c>
      <c r="V134" s="1">
        <v>2380</v>
      </c>
      <c r="W134" s="1">
        <v>-254.45833333333331</v>
      </c>
      <c r="X134" s="1">
        <v>-2571.125</v>
      </c>
      <c r="AB134" s="2" t="str">
        <f t="shared" si="2"/>
        <v>PASS</v>
      </c>
      <c r="AV134" s="1"/>
      <c r="AW134" s="1"/>
      <c r="AX134" s="1"/>
    </row>
    <row r="135" spans="1:50">
      <c r="A135" s="1" t="s">
        <v>161</v>
      </c>
      <c r="B135" s="1" t="s">
        <v>24</v>
      </c>
      <c r="C135" s="2">
        <v>46258.44417534722</v>
      </c>
      <c r="D135" s="2">
        <v>45033.020061990741</v>
      </c>
      <c r="E135" s="2">
        <v>46258.385556770831</v>
      </c>
      <c r="F135" s="1" t="s">
        <v>598</v>
      </c>
      <c r="G135" s="1" t="s">
        <v>25</v>
      </c>
      <c r="H135" s="3">
        <v>45032</v>
      </c>
      <c r="I135" s="1">
        <v>1642.3549999999996</v>
      </c>
      <c r="J135" s="1">
        <v>4220</v>
      </c>
      <c r="K135" s="1">
        <v>2577.6450000000004</v>
      </c>
      <c r="L135" s="1">
        <v>575.90000000000009</v>
      </c>
      <c r="M135" s="1">
        <v>1000</v>
      </c>
      <c r="N135" s="1">
        <v>424.09999999999991</v>
      </c>
      <c r="O135" s="1">
        <v>30</v>
      </c>
      <c r="P135" s="1">
        <v>300</v>
      </c>
      <c r="Q135" s="1">
        <v>270</v>
      </c>
      <c r="R135" s="1">
        <v>1509.1666666666663</v>
      </c>
      <c r="S135" s="1">
        <v>1880</v>
      </c>
      <c r="T135" s="1">
        <v>370.83333333333343</v>
      </c>
      <c r="U135" s="1">
        <v>2316.6666666666665</v>
      </c>
      <c r="V135" s="1">
        <v>7400</v>
      </c>
      <c r="W135" s="1">
        <v>3642.5783333333334</v>
      </c>
      <c r="X135" s="1">
        <v>1325.9116666666671</v>
      </c>
      <c r="AB135" s="2" t="str">
        <f t="shared" si="2"/>
        <v>PASS</v>
      </c>
      <c r="AV135" s="1"/>
      <c r="AW135" s="1"/>
      <c r="AX135" s="1"/>
    </row>
    <row r="136" spans="1:50">
      <c r="A136" s="1" t="s">
        <v>162</v>
      </c>
      <c r="B136" s="1" t="s">
        <v>24</v>
      </c>
      <c r="C136" s="2">
        <v>46258.444177199075</v>
      </c>
      <c r="D136" s="2">
        <v>45034.04029877315</v>
      </c>
      <c r="E136" s="2">
        <v>46258.385556851848</v>
      </c>
      <c r="F136" s="1" t="s">
        <v>598</v>
      </c>
      <c r="G136" s="1" t="s">
        <v>25</v>
      </c>
      <c r="H136" s="3">
        <v>45033</v>
      </c>
      <c r="I136" s="1">
        <v>2363.06</v>
      </c>
      <c r="J136" s="1">
        <v>2890</v>
      </c>
      <c r="K136" s="1">
        <v>526.94000000000005</v>
      </c>
      <c r="L136" s="1">
        <v>1779.9500000000005</v>
      </c>
      <c r="M136" s="1">
        <v>3180</v>
      </c>
      <c r="N136" s="1">
        <v>1400.0499999999995</v>
      </c>
      <c r="O136" s="1">
        <v>30</v>
      </c>
      <c r="P136" s="1">
        <v>300</v>
      </c>
      <c r="Q136" s="1">
        <v>270</v>
      </c>
      <c r="R136" s="1">
        <v>1039.1666666666663</v>
      </c>
      <c r="S136" s="1">
        <v>1340</v>
      </c>
      <c r="T136" s="1">
        <v>300.83333333333348</v>
      </c>
      <c r="U136" s="1">
        <v>2316.6666666666665</v>
      </c>
      <c r="V136" s="1">
        <v>7710</v>
      </c>
      <c r="W136" s="1">
        <v>2497.8233333333333</v>
      </c>
      <c r="X136" s="1">
        <v>181.15666666666675</v>
      </c>
      <c r="AB136" s="2" t="str">
        <f t="shared" si="2"/>
        <v>PASS</v>
      </c>
      <c r="AV136" s="1"/>
      <c r="AW136" s="1"/>
      <c r="AX136" s="1"/>
    </row>
    <row r="137" spans="1:50">
      <c r="A137" s="1" t="s">
        <v>163</v>
      </c>
      <c r="B137" s="1" t="s">
        <v>24</v>
      </c>
      <c r="C137" s="2">
        <v>46258.444178472222</v>
      </c>
      <c r="D137" s="2">
        <v>45035.181542210645</v>
      </c>
      <c r="E137" s="2">
        <v>46258.385556944442</v>
      </c>
      <c r="F137" s="1" t="s">
        <v>598</v>
      </c>
      <c r="G137" s="1" t="s">
        <v>25</v>
      </c>
      <c r="H137" s="3">
        <v>45034</v>
      </c>
      <c r="I137" s="1">
        <v>3370.0499999999997</v>
      </c>
      <c r="J137" s="1">
        <v>3540</v>
      </c>
      <c r="K137" s="1">
        <v>169.95000000000027</v>
      </c>
      <c r="L137" s="1">
        <v>1681.0000000000005</v>
      </c>
      <c r="M137" s="1">
        <v>3360</v>
      </c>
      <c r="N137" s="1">
        <v>1678.9999999999995</v>
      </c>
      <c r="O137" s="1">
        <v>0</v>
      </c>
      <c r="P137" s="1">
        <v>0</v>
      </c>
      <c r="Q137" s="1">
        <v>0</v>
      </c>
      <c r="R137" s="1">
        <v>1320</v>
      </c>
      <c r="S137" s="1">
        <v>1560</v>
      </c>
      <c r="T137" s="1">
        <v>240</v>
      </c>
      <c r="U137" s="1">
        <v>2316.6666666666665</v>
      </c>
      <c r="V137" s="1">
        <v>8460</v>
      </c>
      <c r="W137" s="1">
        <v>2088.9499999999998</v>
      </c>
      <c r="X137" s="1">
        <v>-227.7166666666667</v>
      </c>
      <c r="AB137" s="2" t="str">
        <f t="shared" si="2"/>
        <v>PASS</v>
      </c>
      <c r="AV137" s="1"/>
      <c r="AW137" s="1"/>
      <c r="AX137" s="1"/>
    </row>
    <row r="138" spans="1:50">
      <c r="A138" s="1" t="s">
        <v>164</v>
      </c>
      <c r="B138" s="1" t="s">
        <v>24</v>
      </c>
      <c r="C138" s="2">
        <v>46258.444179953702</v>
      </c>
      <c r="D138" s="2">
        <v>45036.021865833332</v>
      </c>
      <c r="E138" s="2">
        <v>46258.38555702546</v>
      </c>
      <c r="F138" s="1" t="s">
        <v>598</v>
      </c>
      <c r="G138" s="1" t="s">
        <v>25</v>
      </c>
      <c r="H138" s="3">
        <v>45035</v>
      </c>
      <c r="I138" s="1">
        <v>3395.775000000001</v>
      </c>
      <c r="J138" s="1">
        <v>3630</v>
      </c>
      <c r="K138" s="1">
        <v>234.224999999999</v>
      </c>
      <c r="L138" s="1">
        <v>665.69999999999993</v>
      </c>
      <c r="M138" s="1">
        <v>750</v>
      </c>
      <c r="N138" s="1">
        <v>84.300000000000068</v>
      </c>
      <c r="O138" s="1">
        <v>68</v>
      </c>
      <c r="P138" s="1">
        <v>350</v>
      </c>
      <c r="Q138" s="1">
        <v>282</v>
      </c>
      <c r="R138" s="1">
        <v>907.5</v>
      </c>
      <c r="S138" s="1">
        <v>960</v>
      </c>
      <c r="T138" s="1">
        <v>52.5</v>
      </c>
      <c r="U138" s="1">
        <v>2316.6666666666665</v>
      </c>
      <c r="V138" s="1">
        <v>5690</v>
      </c>
      <c r="W138" s="1">
        <v>653.02499999999907</v>
      </c>
      <c r="X138" s="1">
        <v>-1663.6416666666671</v>
      </c>
      <c r="AB138" s="2" t="str">
        <f t="shared" si="2"/>
        <v>PASS</v>
      </c>
      <c r="AV138" s="1"/>
      <c r="AW138" s="1"/>
      <c r="AX138" s="1"/>
    </row>
    <row r="139" spans="1:50">
      <c r="A139" s="1" t="s">
        <v>165</v>
      </c>
      <c r="B139" s="1" t="s">
        <v>24</v>
      </c>
      <c r="C139" s="2">
        <v>46258.444181261577</v>
      </c>
      <c r="D139" s="2">
        <v>45037.885098668979</v>
      </c>
      <c r="E139" s="2">
        <v>46258.385557256945</v>
      </c>
      <c r="F139" s="1" t="s">
        <v>598</v>
      </c>
      <c r="G139" s="1" t="s">
        <v>25</v>
      </c>
      <c r="H139" s="3">
        <v>45036</v>
      </c>
      <c r="I139" s="1">
        <v>2080.0599999999995</v>
      </c>
      <c r="J139" s="1">
        <v>3010</v>
      </c>
      <c r="K139" s="1">
        <v>929.94000000000051</v>
      </c>
      <c r="L139" s="1">
        <v>326.74999999999994</v>
      </c>
      <c r="M139" s="1">
        <v>500</v>
      </c>
      <c r="N139" s="1">
        <v>173.25000000000006</v>
      </c>
      <c r="O139" s="1">
        <v>0</v>
      </c>
      <c r="P139" s="1">
        <v>0</v>
      </c>
      <c r="Q139" s="1">
        <v>0</v>
      </c>
      <c r="R139" s="1">
        <v>1153.3333333333333</v>
      </c>
      <c r="S139" s="1">
        <v>1360</v>
      </c>
      <c r="T139" s="1">
        <v>206.66666666666671</v>
      </c>
      <c r="U139" s="1">
        <v>2316.6666666666665</v>
      </c>
      <c r="V139" s="1">
        <v>4870</v>
      </c>
      <c r="W139" s="1">
        <v>1309.8566666666673</v>
      </c>
      <c r="X139" s="1">
        <v>-1006.8099999999991</v>
      </c>
      <c r="AB139" s="2" t="str">
        <f t="shared" si="2"/>
        <v>PASS</v>
      </c>
      <c r="AV139" s="1"/>
      <c r="AW139" s="1"/>
      <c r="AX139" s="1"/>
    </row>
    <row r="140" spans="1:50">
      <c r="A140" s="1" t="s">
        <v>166</v>
      </c>
      <c r="B140" s="1" t="s">
        <v>24</v>
      </c>
      <c r="C140" s="2">
        <v>46258.444182407409</v>
      </c>
      <c r="D140" s="2">
        <v>45038.109074178239</v>
      </c>
      <c r="E140" s="2">
        <v>46258.385557546295</v>
      </c>
      <c r="F140" s="1" t="s">
        <v>598</v>
      </c>
      <c r="G140" s="1" t="s">
        <v>25</v>
      </c>
      <c r="H140" s="3">
        <v>45037</v>
      </c>
      <c r="I140" s="1">
        <v>4206.2</v>
      </c>
      <c r="J140" s="1">
        <v>7650</v>
      </c>
      <c r="K140" s="1">
        <v>3443.8</v>
      </c>
      <c r="L140" s="1">
        <v>2220.6999999999998</v>
      </c>
      <c r="M140" s="1">
        <v>4250</v>
      </c>
      <c r="N140" s="1">
        <v>2029.3</v>
      </c>
      <c r="O140" s="1">
        <v>245.8</v>
      </c>
      <c r="P140" s="1">
        <v>1450</v>
      </c>
      <c r="Q140" s="1">
        <v>1204.2</v>
      </c>
      <c r="R140" s="1">
        <v>2038.3333333333337</v>
      </c>
      <c r="S140" s="1">
        <v>2440</v>
      </c>
      <c r="T140" s="1">
        <v>401.66666666666657</v>
      </c>
      <c r="U140" s="1">
        <v>2316.6666666666665</v>
      </c>
      <c r="V140" s="1">
        <v>15790</v>
      </c>
      <c r="W140" s="1">
        <v>7078.9666666666672</v>
      </c>
      <c r="X140" s="1">
        <v>4762.3000000000011</v>
      </c>
      <c r="AB140" s="2" t="str">
        <f t="shared" si="2"/>
        <v>PASS</v>
      </c>
      <c r="AV140" s="1"/>
      <c r="AW140" s="1"/>
      <c r="AX140" s="1"/>
    </row>
    <row r="141" spans="1:50">
      <c r="A141" s="1" t="s">
        <v>167</v>
      </c>
      <c r="B141" s="1" t="s">
        <v>24</v>
      </c>
      <c r="C141" s="2">
        <v>46258.444183692132</v>
      </c>
      <c r="D141" s="2">
        <v>45039.037496516205</v>
      </c>
      <c r="E141" s="2">
        <v>46258.385557615744</v>
      </c>
      <c r="F141" s="1" t="s">
        <v>598</v>
      </c>
      <c r="G141" s="1" t="s">
        <v>25</v>
      </c>
      <c r="H141" s="3">
        <v>45038</v>
      </c>
      <c r="I141" s="1">
        <v>7570.9350000000004</v>
      </c>
      <c r="J141" s="1">
        <v>11220</v>
      </c>
      <c r="K141" s="1">
        <v>3649.065000000001</v>
      </c>
      <c r="L141" s="1">
        <v>3804.3</v>
      </c>
      <c r="M141" s="1">
        <v>7250</v>
      </c>
      <c r="N141" s="1">
        <v>3445.7</v>
      </c>
      <c r="O141" s="1">
        <v>381.8</v>
      </c>
      <c r="P141" s="1">
        <v>1650</v>
      </c>
      <c r="Q141" s="1">
        <v>1268.2</v>
      </c>
      <c r="R141" s="1">
        <v>3431.6666666666665</v>
      </c>
      <c r="S141" s="1">
        <v>4290</v>
      </c>
      <c r="T141" s="1">
        <v>858.33333333333348</v>
      </c>
      <c r="U141" s="1">
        <v>2316.6666666666665</v>
      </c>
      <c r="V141" s="1">
        <v>24410</v>
      </c>
      <c r="W141" s="1">
        <v>9221.2983333333341</v>
      </c>
      <c r="X141" s="1">
        <v>6904.631666666668</v>
      </c>
      <c r="AB141" s="2" t="str">
        <f t="shared" si="2"/>
        <v>PASS</v>
      </c>
      <c r="AV141" s="1"/>
      <c r="AW141" s="1"/>
      <c r="AX141" s="1"/>
    </row>
    <row r="142" spans="1:50">
      <c r="A142" s="1" t="s">
        <v>168</v>
      </c>
      <c r="B142" s="1" t="s">
        <v>24</v>
      </c>
      <c r="C142" s="2">
        <v>46258.444184907406</v>
      </c>
      <c r="D142" s="2">
        <v>45040.029987164351</v>
      </c>
      <c r="E142" s="2">
        <v>46258.385557685186</v>
      </c>
      <c r="F142" s="1" t="s">
        <v>598</v>
      </c>
      <c r="G142" s="1" t="s">
        <v>25</v>
      </c>
      <c r="H142" s="3">
        <v>45039</v>
      </c>
      <c r="I142" s="1">
        <v>6730.0849999999991</v>
      </c>
      <c r="J142" s="1">
        <v>10750</v>
      </c>
      <c r="K142" s="1">
        <v>4019.9150000000009</v>
      </c>
      <c r="L142" s="1">
        <v>2619.8000000000002</v>
      </c>
      <c r="M142" s="1">
        <v>3750</v>
      </c>
      <c r="N142" s="1">
        <v>1130.1999999999998</v>
      </c>
      <c r="O142" s="1">
        <v>316.43</v>
      </c>
      <c r="P142" s="1">
        <v>2350</v>
      </c>
      <c r="Q142" s="1">
        <v>2033.57</v>
      </c>
      <c r="R142" s="1">
        <v>2751.6666666666665</v>
      </c>
      <c r="S142" s="1">
        <v>3360</v>
      </c>
      <c r="T142" s="1">
        <v>608.33333333333348</v>
      </c>
      <c r="U142" s="1">
        <v>2316.6666666666665</v>
      </c>
      <c r="V142" s="1">
        <v>20210</v>
      </c>
      <c r="W142" s="1">
        <v>7792.0183333333325</v>
      </c>
      <c r="X142" s="1">
        <v>5475.3516666666674</v>
      </c>
      <c r="AB142" s="2" t="str">
        <f t="shared" si="2"/>
        <v>PASS</v>
      </c>
      <c r="AV142" s="1"/>
      <c r="AW142" s="1"/>
      <c r="AX142" s="1"/>
    </row>
    <row r="143" spans="1:50">
      <c r="A143" s="1" t="s">
        <v>169</v>
      </c>
      <c r="B143" s="1" t="s">
        <v>24</v>
      </c>
      <c r="C143" s="2">
        <v>46258.44418658565</v>
      </c>
      <c r="D143" s="2">
        <v>45041.039246666667</v>
      </c>
      <c r="E143" s="2">
        <v>46258.385557777779</v>
      </c>
      <c r="F143" s="1" t="s">
        <v>598</v>
      </c>
      <c r="G143" s="1" t="s">
        <v>25</v>
      </c>
      <c r="H143" s="3">
        <v>45040</v>
      </c>
      <c r="I143" s="1">
        <v>6391.3700000000008</v>
      </c>
      <c r="J143" s="1">
        <v>8400</v>
      </c>
      <c r="K143" s="1">
        <v>2008.6299999999992</v>
      </c>
      <c r="L143" s="1">
        <v>4424.4000000000005</v>
      </c>
      <c r="M143" s="1">
        <v>9300</v>
      </c>
      <c r="N143" s="1">
        <v>4875.5999999999995</v>
      </c>
      <c r="O143" s="1">
        <v>253.83</v>
      </c>
      <c r="P143" s="1">
        <v>1250</v>
      </c>
      <c r="Q143" s="1">
        <v>996.17</v>
      </c>
      <c r="R143" s="1">
        <v>2022.5</v>
      </c>
      <c r="S143" s="1">
        <v>2720</v>
      </c>
      <c r="T143" s="1">
        <v>697.5</v>
      </c>
      <c r="U143" s="1">
        <v>2316.6666666666665</v>
      </c>
      <c r="V143" s="1">
        <v>21670</v>
      </c>
      <c r="W143" s="1">
        <v>8577.8999999999978</v>
      </c>
      <c r="X143" s="1">
        <v>6261.2333333333318</v>
      </c>
      <c r="AB143" s="2" t="str">
        <f t="shared" si="2"/>
        <v>PASS</v>
      </c>
      <c r="AV143" s="1"/>
      <c r="AW143" s="1"/>
      <c r="AX143" s="1"/>
    </row>
    <row r="144" spans="1:50">
      <c r="A144" s="1" t="s">
        <v>170</v>
      </c>
      <c r="B144" s="1" t="s">
        <v>24</v>
      </c>
      <c r="C144" s="2">
        <v>46258.44418810185</v>
      </c>
      <c r="D144" s="2">
        <v>45042.013094652779</v>
      </c>
      <c r="E144" s="2">
        <v>46258.385557870373</v>
      </c>
      <c r="F144" s="1" t="s">
        <v>598</v>
      </c>
      <c r="G144" s="1" t="s">
        <v>25</v>
      </c>
      <c r="H144" s="3">
        <v>45041</v>
      </c>
      <c r="I144" s="1">
        <v>6056.6450000000004</v>
      </c>
      <c r="J144" s="1">
        <v>8090</v>
      </c>
      <c r="K144" s="1">
        <v>2033.3549999999996</v>
      </c>
      <c r="L144" s="1">
        <v>2381.3499999999995</v>
      </c>
      <c r="M144" s="1">
        <v>3500</v>
      </c>
      <c r="N144" s="1">
        <v>1118.6500000000003</v>
      </c>
      <c r="O144" s="1">
        <v>263</v>
      </c>
      <c r="P144" s="1">
        <v>1470</v>
      </c>
      <c r="Q144" s="1">
        <v>1207</v>
      </c>
      <c r="R144" s="1">
        <v>1476.6666666666663</v>
      </c>
      <c r="S144" s="1">
        <v>1680</v>
      </c>
      <c r="T144" s="1">
        <v>203.33333333333348</v>
      </c>
      <c r="U144" s="1">
        <v>2316.6666666666665</v>
      </c>
      <c r="V144" s="1">
        <v>14740</v>
      </c>
      <c r="W144" s="1">
        <v>4562.3383333333331</v>
      </c>
      <c r="X144" s="1">
        <v>2245.6716666666666</v>
      </c>
      <c r="AB144" s="2" t="str">
        <f t="shared" si="2"/>
        <v>PASS</v>
      </c>
      <c r="AV144" s="1"/>
      <c r="AW144" s="1"/>
      <c r="AX144" s="1"/>
    </row>
    <row r="145" spans="1:50">
      <c r="A145" s="1" t="s">
        <v>171</v>
      </c>
      <c r="B145" s="1" t="s">
        <v>24</v>
      </c>
      <c r="C145" s="2">
        <v>46258.444189745373</v>
      </c>
      <c r="D145" s="2">
        <v>45043.017632870367</v>
      </c>
      <c r="E145" s="2">
        <v>46258.38555796296</v>
      </c>
      <c r="F145" s="1" t="s">
        <v>598</v>
      </c>
      <c r="G145" s="1" t="s">
        <v>25</v>
      </c>
      <c r="H145" s="3">
        <v>45042</v>
      </c>
      <c r="I145" s="1">
        <v>5319.0349999999989</v>
      </c>
      <c r="J145" s="1">
        <v>8570</v>
      </c>
      <c r="K145" s="1">
        <v>3250.9650000000011</v>
      </c>
      <c r="L145" s="1">
        <v>2801.9</v>
      </c>
      <c r="M145" s="1">
        <v>4000</v>
      </c>
      <c r="N145" s="1">
        <v>1198.0999999999999</v>
      </c>
      <c r="O145" s="1">
        <v>499.26</v>
      </c>
      <c r="P145" s="1">
        <v>3500</v>
      </c>
      <c r="Q145" s="1">
        <v>3000.74</v>
      </c>
      <c r="R145" s="1">
        <v>825.83333333333348</v>
      </c>
      <c r="S145" s="1">
        <v>1090</v>
      </c>
      <c r="T145" s="1">
        <v>264.16666666666663</v>
      </c>
      <c r="U145" s="1">
        <v>2316.6666666666665</v>
      </c>
      <c r="V145" s="1">
        <v>17160</v>
      </c>
      <c r="W145" s="1">
        <v>7713.9716666666673</v>
      </c>
      <c r="X145" s="1">
        <v>5397.3050000000003</v>
      </c>
      <c r="AB145" s="2" t="str">
        <f t="shared" si="2"/>
        <v>PASS</v>
      </c>
      <c r="AV145" s="1"/>
      <c r="AW145" s="1"/>
      <c r="AX145" s="1"/>
    </row>
    <row r="146" spans="1:50">
      <c r="A146" s="1" t="s">
        <v>172</v>
      </c>
      <c r="B146" s="1" t="s">
        <v>24</v>
      </c>
      <c r="C146" s="2">
        <v>46258.444191319446</v>
      </c>
      <c r="D146" s="2">
        <v>45044.035311701387</v>
      </c>
      <c r="E146" s="2">
        <v>46258.385558113427</v>
      </c>
      <c r="F146" s="1" t="s">
        <v>598</v>
      </c>
      <c r="G146" s="1" t="s">
        <v>25</v>
      </c>
      <c r="H146" s="3">
        <v>45043</v>
      </c>
      <c r="I146" s="1">
        <v>4960.6600000000008</v>
      </c>
      <c r="J146" s="1">
        <v>8130</v>
      </c>
      <c r="K146" s="1">
        <v>3169.3399999999992</v>
      </c>
      <c r="L146" s="1">
        <v>2548.65</v>
      </c>
      <c r="M146" s="1">
        <v>4750</v>
      </c>
      <c r="N146" s="1">
        <v>2201.35</v>
      </c>
      <c r="O146" s="1">
        <v>537.46</v>
      </c>
      <c r="P146" s="1">
        <v>1670</v>
      </c>
      <c r="Q146" s="1">
        <v>1132.54</v>
      </c>
      <c r="R146" s="1">
        <v>1534.9999999999998</v>
      </c>
      <c r="S146" s="1">
        <v>2030</v>
      </c>
      <c r="T146" s="1">
        <v>495.00000000000023</v>
      </c>
      <c r="U146" s="1">
        <v>2316.6666666666665</v>
      </c>
      <c r="V146" s="1">
        <v>16580</v>
      </c>
      <c r="W146" s="1">
        <v>6998.2299999999987</v>
      </c>
      <c r="X146" s="1">
        <v>4681.5633333333317</v>
      </c>
      <c r="AB146" s="2" t="str">
        <f t="shared" si="2"/>
        <v>PASS</v>
      </c>
      <c r="AV146" s="1"/>
      <c r="AW146" s="1"/>
      <c r="AX146" s="1"/>
    </row>
    <row r="147" spans="1:50">
      <c r="A147" s="1" t="s">
        <v>173</v>
      </c>
      <c r="B147" s="1" t="s">
        <v>24</v>
      </c>
      <c r="C147" s="2">
        <v>46258.444193078707</v>
      </c>
      <c r="D147" s="2">
        <v>45045.009994074077</v>
      </c>
      <c r="E147" s="2">
        <v>46258.385558206021</v>
      </c>
      <c r="F147" s="1" t="s">
        <v>598</v>
      </c>
      <c r="G147" s="1" t="s">
        <v>25</v>
      </c>
      <c r="H147" s="3">
        <v>45044</v>
      </c>
      <c r="I147" s="1">
        <v>6370.869999999999</v>
      </c>
      <c r="J147" s="1">
        <v>8310</v>
      </c>
      <c r="K147" s="1">
        <v>1939.130000000001</v>
      </c>
      <c r="L147" s="1">
        <v>2433.0999999999995</v>
      </c>
      <c r="M147" s="1">
        <v>4750</v>
      </c>
      <c r="N147" s="1">
        <v>2316.9000000000005</v>
      </c>
      <c r="O147" s="1">
        <v>303.49</v>
      </c>
      <c r="P147" s="1">
        <v>2200</v>
      </c>
      <c r="Q147" s="1">
        <v>1896.51</v>
      </c>
      <c r="R147" s="1">
        <v>1557.5</v>
      </c>
      <c r="S147" s="1">
        <v>1900</v>
      </c>
      <c r="T147" s="1">
        <v>342.5</v>
      </c>
      <c r="U147" s="1">
        <v>2316.6666666666665</v>
      </c>
      <c r="V147" s="1">
        <v>17160</v>
      </c>
      <c r="W147" s="1">
        <v>6495.0400000000018</v>
      </c>
      <c r="X147" s="1">
        <v>4178.3733333333348</v>
      </c>
      <c r="AB147" s="2" t="str">
        <f t="shared" si="2"/>
        <v>PASS</v>
      </c>
      <c r="AV147" s="1"/>
      <c r="AW147" s="1"/>
      <c r="AX147" s="1"/>
    </row>
    <row r="148" spans="1:50">
      <c r="A148" s="1" t="s">
        <v>174</v>
      </c>
      <c r="B148" s="1" t="s">
        <v>24</v>
      </c>
      <c r="C148" s="2">
        <v>46258.444194618052</v>
      </c>
      <c r="D148" s="2">
        <v>45046.018092546299</v>
      </c>
      <c r="E148" s="2">
        <v>46258.385558275462</v>
      </c>
      <c r="F148" s="1" t="s">
        <v>598</v>
      </c>
      <c r="G148" s="1" t="s">
        <v>25</v>
      </c>
      <c r="H148" s="3">
        <v>45045</v>
      </c>
      <c r="I148" s="1">
        <v>4012.1349999999993</v>
      </c>
      <c r="J148" s="1">
        <v>7010</v>
      </c>
      <c r="K148" s="1">
        <v>2997.8650000000007</v>
      </c>
      <c r="L148" s="1">
        <v>2370.6000000000004</v>
      </c>
      <c r="M148" s="1">
        <v>4850</v>
      </c>
      <c r="N148" s="1">
        <v>2479.3999999999996</v>
      </c>
      <c r="O148" s="1">
        <v>282</v>
      </c>
      <c r="P148" s="1">
        <v>750</v>
      </c>
      <c r="Q148" s="1">
        <v>468</v>
      </c>
      <c r="R148" s="1">
        <v>1895</v>
      </c>
      <c r="S148" s="1">
        <v>2490</v>
      </c>
      <c r="T148" s="1">
        <v>595</v>
      </c>
      <c r="U148" s="1">
        <v>2316.6666666666665</v>
      </c>
      <c r="V148" s="1">
        <v>15100</v>
      </c>
      <c r="W148" s="1">
        <v>6540.2650000000003</v>
      </c>
      <c r="X148" s="1">
        <v>4223.5983333333334</v>
      </c>
      <c r="AB148" s="2" t="str">
        <f t="shared" si="2"/>
        <v>PASS</v>
      </c>
      <c r="AV148" s="1"/>
      <c r="AW148" s="1"/>
      <c r="AX148" s="1"/>
    </row>
    <row r="149" spans="1:50">
      <c r="A149" s="1" t="s">
        <v>175</v>
      </c>
      <c r="B149" s="1" t="s">
        <v>24</v>
      </c>
      <c r="C149" s="2">
        <v>46258.444196203702</v>
      </c>
      <c r="D149" s="2">
        <v>45047.050138252314</v>
      </c>
      <c r="E149" s="2">
        <v>46258.38555835648</v>
      </c>
      <c r="F149" s="1" t="s">
        <v>598</v>
      </c>
      <c r="G149" s="1" t="s">
        <v>25</v>
      </c>
      <c r="H149" s="3">
        <v>45046</v>
      </c>
      <c r="I149" s="1">
        <v>7887.2299999999987</v>
      </c>
      <c r="J149" s="1">
        <v>9470</v>
      </c>
      <c r="K149" s="1">
        <v>1582.7700000000025</v>
      </c>
      <c r="L149" s="1">
        <v>1769.4000000000003</v>
      </c>
      <c r="M149" s="1">
        <v>3100</v>
      </c>
      <c r="N149" s="1">
        <v>1330.5999999999997</v>
      </c>
      <c r="O149" s="1">
        <v>291.83000000000004</v>
      </c>
      <c r="P149" s="1">
        <v>1150</v>
      </c>
      <c r="Q149" s="1">
        <v>858.17</v>
      </c>
      <c r="R149" s="1">
        <v>2277.5</v>
      </c>
      <c r="S149" s="1">
        <v>2720</v>
      </c>
      <c r="T149" s="1">
        <v>442.5</v>
      </c>
      <c r="U149" s="1">
        <v>2316.6666666666665</v>
      </c>
      <c r="V149" s="1">
        <v>16440</v>
      </c>
      <c r="W149" s="1">
        <v>4214.0400000000018</v>
      </c>
      <c r="X149" s="1">
        <v>1897.3733333333353</v>
      </c>
      <c r="AB149" s="2" t="str">
        <f t="shared" si="2"/>
        <v>PASS</v>
      </c>
      <c r="AV149" s="1"/>
      <c r="AW149" s="1"/>
      <c r="AX149" s="1"/>
    </row>
    <row r="150" spans="1:50">
      <c r="A150" s="1" t="s">
        <v>176</v>
      </c>
      <c r="B150" s="1" t="s">
        <v>24</v>
      </c>
      <c r="C150" s="2">
        <v>46258.444331956016</v>
      </c>
      <c r="D150" s="2">
        <v>45048.002496539353</v>
      </c>
      <c r="E150" s="2">
        <v>46258.385589548612</v>
      </c>
      <c r="F150" s="1" t="s">
        <v>599</v>
      </c>
      <c r="G150" s="1" t="s">
        <v>25</v>
      </c>
      <c r="H150" s="3">
        <v>45047</v>
      </c>
      <c r="I150" s="1">
        <v>4208.965000000002</v>
      </c>
      <c r="J150" s="1">
        <v>4740</v>
      </c>
      <c r="K150" s="1">
        <v>531.03499999999804</v>
      </c>
      <c r="L150" s="1">
        <v>445.00000000000006</v>
      </c>
      <c r="M150" s="1">
        <v>1000</v>
      </c>
      <c r="N150" s="1">
        <v>555</v>
      </c>
      <c r="O150" s="1">
        <v>167.83</v>
      </c>
      <c r="P150" s="1">
        <v>600</v>
      </c>
      <c r="Q150" s="1">
        <v>432.16999999999996</v>
      </c>
      <c r="R150" s="1">
        <v>856.66666666666652</v>
      </c>
      <c r="S150" s="1">
        <v>1090</v>
      </c>
      <c r="T150" s="1">
        <v>233.33333333333337</v>
      </c>
      <c r="U150" s="1">
        <v>2316.6666666666665</v>
      </c>
      <c r="V150" s="1">
        <v>7430</v>
      </c>
      <c r="W150" s="1">
        <v>1751.5383333333316</v>
      </c>
      <c r="X150" s="1">
        <v>-565.12833333333492</v>
      </c>
      <c r="AB150" s="2" t="str">
        <f t="shared" si="2"/>
        <v>PASS</v>
      </c>
      <c r="AV150" s="1"/>
      <c r="AW150" s="1"/>
      <c r="AX150" s="1"/>
    </row>
    <row r="151" spans="1:50">
      <c r="A151" s="1" t="s">
        <v>177</v>
      </c>
      <c r="B151" s="1" t="s">
        <v>24</v>
      </c>
      <c r="C151" s="2">
        <v>46258.4443334838</v>
      </c>
      <c r="D151" s="2">
        <v>45049.028547361107</v>
      </c>
      <c r="E151" s="2">
        <v>46258.385589745369</v>
      </c>
      <c r="F151" s="1" t="s">
        <v>599</v>
      </c>
      <c r="G151" s="1" t="s">
        <v>25</v>
      </c>
      <c r="H151" s="3">
        <v>45048</v>
      </c>
      <c r="I151" s="1">
        <v>5353.585</v>
      </c>
      <c r="J151" s="1">
        <v>8130</v>
      </c>
      <c r="K151" s="1">
        <v>2776.415</v>
      </c>
      <c r="L151" s="1">
        <v>3133</v>
      </c>
      <c r="M151" s="1">
        <v>6500</v>
      </c>
      <c r="N151" s="1">
        <v>3367</v>
      </c>
      <c r="O151" s="1">
        <v>60</v>
      </c>
      <c r="P151" s="1">
        <v>600</v>
      </c>
      <c r="Q151" s="1">
        <v>540</v>
      </c>
      <c r="R151" s="1">
        <v>1145.8333333333333</v>
      </c>
      <c r="S151" s="1">
        <v>1470</v>
      </c>
      <c r="T151" s="1">
        <v>324.16666666666674</v>
      </c>
      <c r="U151" s="1">
        <v>2316.6666666666665</v>
      </c>
      <c r="V151" s="1">
        <v>16700</v>
      </c>
      <c r="W151" s="1">
        <v>7007.5816666666669</v>
      </c>
      <c r="X151" s="1">
        <v>4690.9150000000009</v>
      </c>
      <c r="AB151" s="2" t="str">
        <f t="shared" si="2"/>
        <v>PASS</v>
      </c>
      <c r="AV151" s="1"/>
      <c r="AW151" s="1"/>
      <c r="AX151" s="1"/>
    </row>
    <row r="152" spans="1:50">
      <c r="A152" s="1" t="s">
        <v>178</v>
      </c>
      <c r="B152" s="1" t="s">
        <v>24</v>
      </c>
      <c r="C152" s="2">
        <v>46258.444334918982</v>
      </c>
      <c r="D152" s="2">
        <v>45050.026745173614</v>
      </c>
      <c r="E152" s="2">
        <v>46258.385589826386</v>
      </c>
      <c r="F152" s="1" t="s">
        <v>599</v>
      </c>
      <c r="G152" s="1" t="s">
        <v>25</v>
      </c>
      <c r="H152" s="3">
        <v>45049</v>
      </c>
      <c r="I152" s="1">
        <v>7133.2850000000008</v>
      </c>
      <c r="J152" s="1">
        <v>8910</v>
      </c>
      <c r="K152" s="1">
        <v>1776.7149999999992</v>
      </c>
      <c r="L152" s="1">
        <v>1458.15</v>
      </c>
      <c r="M152" s="1">
        <v>2500</v>
      </c>
      <c r="N152" s="1">
        <v>1041.8499999999999</v>
      </c>
      <c r="O152" s="1">
        <v>282</v>
      </c>
      <c r="P152" s="1">
        <v>850</v>
      </c>
      <c r="Q152" s="1">
        <v>568</v>
      </c>
      <c r="R152" s="1">
        <v>897.49999999999989</v>
      </c>
      <c r="S152" s="1">
        <v>1210</v>
      </c>
      <c r="T152" s="1">
        <v>312.50000000000011</v>
      </c>
      <c r="U152" s="1">
        <v>2316.6666666666665</v>
      </c>
      <c r="V152" s="1">
        <v>13470</v>
      </c>
      <c r="W152" s="1">
        <v>3699.0649999999991</v>
      </c>
      <c r="X152" s="1">
        <v>1382.3983333333326</v>
      </c>
      <c r="AB152" s="2" t="str">
        <f t="shared" si="2"/>
        <v>PASS</v>
      </c>
      <c r="AV152" s="1"/>
      <c r="AW152" s="1"/>
      <c r="AX152" s="1"/>
    </row>
    <row r="153" spans="1:50">
      <c r="A153" s="1" t="s">
        <v>179</v>
      </c>
      <c r="B153" s="1" t="s">
        <v>24</v>
      </c>
      <c r="C153" s="2">
        <v>46258.444336631946</v>
      </c>
      <c r="D153" s="2">
        <v>45051.018981932873</v>
      </c>
      <c r="E153" s="2">
        <v>46258.385590092592</v>
      </c>
      <c r="F153" s="1" t="s">
        <v>599</v>
      </c>
      <c r="G153" s="1" t="s">
        <v>25</v>
      </c>
      <c r="H153" s="3">
        <v>45050</v>
      </c>
      <c r="I153" s="1">
        <v>4517.43</v>
      </c>
      <c r="J153" s="1">
        <v>7690</v>
      </c>
      <c r="K153" s="1">
        <v>3172.5699999999997</v>
      </c>
      <c r="L153" s="1">
        <v>1923.2000000000005</v>
      </c>
      <c r="M153" s="1">
        <v>4000</v>
      </c>
      <c r="N153" s="1">
        <v>2076.7999999999997</v>
      </c>
      <c r="O153" s="1">
        <v>438.31999999999994</v>
      </c>
      <c r="P153" s="1">
        <v>1800</v>
      </c>
      <c r="Q153" s="1">
        <v>1361.68</v>
      </c>
      <c r="R153" s="1">
        <v>1105.8333333333333</v>
      </c>
      <c r="S153" s="1">
        <v>1470</v>
      </c>
      <c r="T153" s="1">
        <v>364.16666666666674</v>
      </c>
      <c r="U153" s="1">
        <v>2316.6666666666665</v>
      </c>
      <c r="V153" s="1">
        <v>14960</v>
      </c>
      <c r="W153" s="1">
        <v>6975.2166666666662</v>
      </c>
      <c r="X153" s="1">
        <v>4658.5499999999993</v>
      </c>
      <c r="AB153" s="2" t="str">
        <f t="shared" si="2"/>
        <v>PASS</v>
      </c>
      <c r="AV153" s="1"/>
      <c r="AW153" s="1"/>
      <c r="AX153" s="1"/>
    </row>
    <row r="154" spans="1:50">
      <c r="A154" s="1" t="s">
        <v>180</v>
      </c>
      <c r="B154" s="1" t="s">
        <v>24</v>
      </c>
      <c r="C154" s="2">
        <v>46258.444338229165</v>
      </c>
      <c r="D154" s="2">
        <v>45052.086286331018</v>
      </c>
      <c r="E154" s="2">
        <v>46258.385590439815</v>
      </c>
      <c r="F154" s="1" t="s">
        <v>599</v>
      </c>
      <c r="G154" s="1" t="s">
        <v>25</v>
      </c>
      <c r="H154" s="3">
        <v>45051</v>
      </c>
      <c r="I154" s="1">
        <v>6796.9049999999997</v>
      </c>
      <c r="J154" s="1">
        <v>7930</v>
      </c>
      <c r="K154" s="1">
        <v>1133.0950000000005</v>
      </c>
      <c r="L154" s="1">
        <v>1753.7500000000002</v>
      </c>
      <c r="M154" s="1">
        <v>2750</v>
      </c>
      <c r="N154" s="1">
        <v>996.24999999999989</v>
      </c>
      <c r="O154" s="1">
        <v>255</v>
      </c>
      <c r="P154" s="1">
        <v>2120</v>
      </c>
      <c r="Q154" s="1">
        <v>1865</v>
      </c>
      <c r="R154" s="1">
        <v>836.66666666666652</v>
      </c>
      <c r="S154" s="1">
        <v>1050</v>
      </c>
      <c r="T154" s="1">
        <v>213.33333333333337</v>
      </c>
      <c r="U154" s="1">
        <v>2316.6666666666665</v>
      </c>
      <c r="V154" s="1">
        <v>13850</v>
      </c>
      <c r="W154" s="1">
        <v>4207.6783333333333</v>
      </c>
      <c r="X154" s="1">
        <v>1891.0116666666668</v>
      </c>
      <c r="AB154" s="2" t="str">
        <f t="shared" si="2"/>
        <v>PASS</v>
      </c>
      <c r="AV154" s="1"/>
      <c r="AW154" s="1"/>
      <c r="AX154" s="1"/>
    </row>
    <row r="155" spans="1:50">
      <c r="A155" s="1" t="s">
        <v>181</v>
      </c>
      <c r="B155" s="1" t="s">
        <v>24</v>
      </c>
      <c r="C155" s="2">
        <v>46258.444339733796</v>
      </c>
      <c r="D155" s="2">
        <v>45053.008543495373</v>
      </c>
      <c r="E155" s="2">
        <v>46258.385590509257</v>
      </c>
      <c r="F155" s="1" t="s">
        <v>599</v>
      </c>
      <c r="G155" s="1" t="s">
        <v>25</v>
      </c>
      <c r="H155" s="3">
        <v>45052</v>
      </c>
      <c r="I155" s="1">
        <v>6868.56</v>
      </c>
      <c r="J155" s="1">
        <v>9720</v>
      </c>
      <c r="K155" s="1">
        <v>2851.4399999999996</v>
      </c>
      <c r="L155" s="1">
        <v>1874.6</v>
      </c>
      <c r="M155" s="1">
        <v>2430</v>
      </c>
      <c r="N155" s="1">
        <v>555.39999999999986</v>
      </c>
      <c r="O155" s="1">
        <v>466</v>
      </c>
      <c r="P155" s="1">
        <v>2950</v>
      </c>
      <c r="Q155" s="1">
        <v>2484</v>
      </c>
      <c r="R155" s="1">
        <v>1694.1666666666667</v>
      </c>
      <c r="S155" s="1">
        <v>2310</v>
      </c>
      <c r="T155" s="1">
        <v>615.83333333333326</v>
      </c>
      <c r="U155" s="1">
        <v>2316.6666666666665</v>
      </c>
      <c r="V155" s="1">
        <v>17410</v>
      </c>
      <c r="W155" s="1">
        <v>6506.6733333333323</v>
      </c>
      <c r="X155" s="1">
        <v>4190.0066666666662</v>
      </c>
      <c r="AB155" s="2" t="str">
        <f t="shared" si="2"/>
        <v>PASS</v>
      </c>
      <c r="AV155" s="1"/>
      <c r="AW155" s="1"/>
      <c r="AX155" s="1"/>
    </row>
    <row r="156" spans="1:50">
      <c r="A156" s="1" t="s">
        <v>182</v>
      </c>
      <c r="B156" s="1" t="s">
        <v>24</v>
      </c>
      <c r="C156" s="2">
        <v>46258.444341087961</v>
      </c>
      <c r="D156" s="2">
        <v>45054.084664768518</v>
      </c>
      <c r="E156" s="2">
        <v>46258.385590601851</v>
      </c>
      <c r="F156" s="1" t="s">
        <v>599</v>
      </c>
      <c r="G156" s="1" t="s">
        <v>25</v>
      </c>
      <c r="H156" s="3">
        <v>45053</v>
      </c>
      <c r="I156" s="1">
        <v>5956.4299999999994</v>
      </c>
      <c r="J156" s="1">
        <v>7850</v>
      </c>
      <c r="K156" s="1">
        <v>1893.5700000000008</v>
      </c>
      <c r="L156" s="1">
        <v>1088.5999999999999</v>
      </c>
      <c r="M156" s="1">
        <v>2500</v>
      </c>
      <c r="N156" s="1">
        <v>1411.4</v>
      </c>
      <c r="O156" s="1">
        <v>103.83000000000001</v>
      </c>
      <c r="P156" s="1">
        <v>650</v>
      </c>
      <c r="Q156" s="1">
        <v>546.16999999999996</v>
      </c>
      <c r="R156" s="1">
        <v>1410</v>
      </c>
      <c r="S156" s="1">
        <v>1780</v>
      </c>
      <c r="T156" s="1">
        <v>370</v>
      </c>
      <c r="U156" s="1">
        <v>2316.6666666666665</v>
      </c>
      <c r="V156" s="1">
        <v>12780</v>
      </c>
      <c r="W156" s="1">
        <v>4221.1400000000003</v>
      </c>
      <c r="X156" s="1">
        <v>1904.4733333333336</v>
      </c>
      <c r="AB156" s="2" t="str">
        <f t="shared" si="2"/>
        <v>PASS</v>
      </c>
      <c r="AV156" s="1"/>
      <c r="AW156" s="1"/>
      <c r="AX156" s="1"/>
    </row>
    <row r="157" spans="1:50">
      <c r="A157" s="1" t="s">
        <v>183</v>
      </c>
      <c r="B157" s="1" t="s">
        <v>24</v>
      </c>
      <c r="C157" s="2">
        <v>46258.444342569448</v>
      </c>
      <c r="D157" s="2">
        <v>45055.011680520831</v>
      </c>
      <c r="E157" s="2">
        <v>46258.385590706021</v>
      </c>
      <c r="F157" s="1" t="s">
        <v>599</v>
      </c>
      <c r="G157" s="1" t="s">
        <v>25</v>
      </c>
      <c r="H157" s="3">
        <v>45054</v>
      </c>
      <c r="I157" s="1">
        <v>5974.2650000000003</v>
      </c>
      <c r="J157" s="1">
        <v>6790</v>
      </c>
      <c r="K157" s="1">
        <v>815.73499999999967</v>
      </c>
      <c r="L157" s="1">
        <v>2183.6</v>
      </c>
      <c r="M157" s="1">
        <v>4250</v>
      </c>
      <c r="N157" s="1">
        <v>2066.4</v>
      </c>
      <c r="O157" s="1">
        <v>184</v>
      </c>
      <c r="P157" s="1">
        <v>1150</v>
      </c>
      <c r="Q157" s="1">
        <v>966</v>
      </c>
      <c r="R157" s="1">
        <v>1288.3333333333333</v>
      </c>
      <c r="S157" s="1">
        <v>1660</v>
      </c>
      <c r="T157" s="1">
        <v>371.66666666666674</v>
      </c>
      <c r="U157" s="1">
        <v>2316.6666666666665</v>
      </c>
      <c r="V157" s="1">
        <v>13850</v>
      </c>
      <c r="W157" s="1">
        <v>4219.8016666666663</v>
      </c>
      <c r="X157" s="1">
        <v>1903.135</v>
      </c>
      <c r="AB157" s="2" t="str">
        <f t="shared" si="2"/>
        <v>PASS</v>
      </c>
      <c r="AV157" s="1"/>
      <c r="AW157" s="1"/>
      <c r="AX157" s="1"/>
    </row>
    <row r="158" spans="1:50">
      <c r="A158" s="1" t="s">
        <v>184</v>
      </c>
      <c r="B158" s="1" t="s">
        <v>24</v>
      </c>
      <c r="C158" s="2">
        <v>46258.444344166666</v>
      </c>
      <c r="D158" s="2">
        <v>45056.000198171299</v>
      </c>
      <c r="E158" s="2">
        <v>46258.385590787038</v>
      </c>
      <c r="F158" s="1" t="s">
        <v>599</v>
      </c>
      <c r="G158" s="1" t="s">
        <v>25</v>
      </c>
      <c r="H158" s="3">
        <v>45055</v>
      </c>
      <c r="I158" s="1">
        <v>4627.0599999999986</v>
      </c>
      <c r="J158" s="1">
        <v>7900</v>
      </c>
      <c r="K158" s="1">
        <v>3272.9400000000014</v>
      </c>
      <c r="L158" s="1">
        <v>1924.6000000000004</v>
      </c>
      <c r="M158" s="1">
        <v>4000</v>
      </c>
      <c r="N158" s="1">
        <v>2075.3999999999996</v>
      </c>
      <c r="O158" s="1">
        <v>60</v>
      </c>
      <c r="P158" s="1">
        <v>600</v>
      </c>
      <c r="Q158" s="1">
        <v>540</v>
      </c>
      <c r="R158" s="1">
        <v>1248.3333333333333</v>
      </c>
      <c r="S158" s="1">
        <v>1570</v>
      </c>
      <c r="T158" s="1">
        <v>321.66666666666674</v>
      </c>
      <c r="U158" s="1">
        <v>2316.6666666666665</v>
      </c>
      <c r="V158" s="1">
        <v>14070</v>
      </c>
      <c r="W158" s="1">
        <v>6210.006666666668</v>
      </c>
      <c r="X158" s="1">
        <v>3893.3400000000015</v>
      </c>
      <c r="AB158" s="2" t="str">
        <f t="shared" si="2"/>
        <v>PASS</v>
      </c>
      <c r="AV158" s="1"/>
      <c r="AW158" s="1"/>
      <c r="AX158" s="1"/>
    </row>
    <row r="159" spans="1:50">
      <c r="A159" s="1" t="s">
        <v>185</v>
      </c>
      <c r="B159" s="1" t="s">
        <v>24</v>
      </c>
      <c r="C159" s="2">
        <v>46258.44434574074</v>
      </c>
      <c r="D159" s="2">
        <v>45057.032581921296</v>
      </c>
      <c r="E159" s="2">
        <v>46258.385590937498</v>
      </c>
      <c r="F159" s="1" t="s">
        <v>599</v>
      </c>
      <c r="G159" s="1" t="s">
        <v>25</v>
      </c>
      <c r="H159" s="3">
        <v>45056</v>
      </c>
      <c r="I159" s="1">
        <v>6482.2450000000026</v>
      </c>
      <c r="J159" s="1">
        <v>9880</v>
      </c>
      <c r="K159" s="1">
        <v>3397.7549999999974</v>
      </c>
      <c r="L159" s="1">
        <v>2991.4499999999994</v>
      </c>
      <c r="M159" s="1">
        <v>6500</v>
      </c>
      <c r="N159" s="1">
        <v>3508.5500000000006</v>
      </c>
      <c r="O159" s="1">
        <v>252</v>
      </c>
      <c r="P159" s="1">
        <v>1350</v>
      </c>
      <c r="Q159" s="1">
        <v>1098</v>
      </c>
      <c r="R159" s="1">
        <v>2591.6666666666665</v>
      </c>
      <c r="S159" s="1">
        <v>3370</v>
      </c>
      <c r="T159" s="1">
        <v>778.33333333333348</v>
      </c>
      <c r="U159" s="1">
        <v>2316.6666666666665</v>
      </c>
      <c r="V159" s="1">
        <v>21100</v>
      </c>
      <c r="W159" s="1">
        <v>8782.6383333333324</v>
      </c>
      <c r="X159" s="1">
        <v>6465.9716666666664</v>
      </c>
      <c r="AB159" s="2" t="str">
        <f t="shared" si="2"/>
        <v>PASS</v>
      </c>
      <c r="AV159" s="1"/>
      <c r="AW159" s="1"/>
      <c r="AX159" s="1"/>
    </row>
    <row r="160" spans="1:50">
      <c r="A160" s="1" t="s">
        <v>186</v>
      </c>
      <c r="B160" s="1" t="s">
        <v>24</v>
      </c>
      <c r="C160" s="2">
        <v>46258.444347060184</v>
      </c>
      <c r="D160" s="2">
        <v>45058.023947210648</v>
      </c>
      <c r="E160" s="2">
        <v>46258.385591574071</v>
      </c>
      <c r="F160" s="1" t="s">
        <v>599</v>
      </c>
      <c r="G160" s="1" t="s">
        <v>25</v>
      </c>
      <c r="H160" s="3">
        <v>45057</v>
      </c>
      <c r="I160" s="1">
        <v>5419.4250000000002</v>
      </c>
      <c r="J160" s="1">
        <v>7110</v>
      </c>
      <c r="K160" s="1">
        <v>1690.5749999999998</v>
      </c>
      <c r="L160" s="1">
        <v>1744.9500000000005</v>
      </c>
      <c r="M160" s="1">
        <v>3250</v>
      </c>
      <c r="N160" s="1">
        <v>1505.0499999999995</v>
      </c>
      <c r="O160" s="1">
        <v>151.32000000000002</v>
      </c>
      <c r="P160" s="1">
        <v>1550</v>
      </c>
      <c r="Q160" s="1">
        <v>1398.6799999999998</v>
      </c>
      <c r="R160" s="1">
        <v>2039.1666666666663</v>
      </c>
      <c r="S160" s="1">
        <v>2580</v>
      </c>
      <c r="T160" s="1">
        <v>540.83333333333348</v>
      </c>
      <c r="U160" s="1">
        <v>2316.6666666666665</v>
      </c>
      <c r="V160" s="1">
        <v>14490</v>
      </c>
      <c r="W160" s="1">
        <v>5135.1383333333342</v>
      </c>
      <c r="X160" s="1">
        <v>2818.4716666666677</v>
      </c>
      <c r="AB160" s="2" t="str">
        <f t="shared" si="2"/>
        <v>PASS</v>
      </c>
      <c r="AV160" s="1"/>
      <c r="AW160" s="1"/>
      <c r="AX160" s="1"/>
    </row>
    <row r="161" spans="1:50">
      <c r="A161" s="1" t="s">
        <v>187</v>
      </c>
      <c r="B161" s="1" t="s">
        <v>24</v>
      </c>
      <c r="C161" s="2">
        <v>46258.444348599536</v>
      </c>
      <c r="D161" s="2">
        <v>45059.02579216435</v>
      </c>
      <c r="E161" s="2">
        <v>46258.385591655089</v>
      </c>
      <c r="F161" s="1" t="s">
        <v>599</v>
      </c>
      <c r="G161" s="1" t="s">
        <v>25</v>
      </c>
      <c r="H161" s="3">
        <v>45058</v>
      </c>
      <c r="I161" s="1">
        <v>6218.5199999999977</v>
      </c>
      <c r="J161" s="1">
        <v>9290</v>
      </c>
      <c r="K161" s="1">
        <v>3071.4800000000023</v>
      </c>
      <c r="L161" s="1">
        <v>2222.4</v>
      </c>
      <c r="M161" s="1">
        <v>4500</v>
      </c>
      <c r="N161" s="1">
        <v>2277.6</v>
      </c>
      <c r="O161" s="1">
        <v>252</v>
      </c>
      <c r="P161" s="1">
        <v>2050</v>
      </c>
      <c r="Q161" s="1">
        <v>1798</v>
      </c>
      <c r="R161" s="1">
        <v>2790.8333333333335</v>
      </c>
      <c r="S161" s="1">
        <v>3660</v>
      </c>
      <c r="T161" s="1">
        <v>869.16666666666652</v>
      </c>
      <c r="U161" s="1">
        <v>2316.6666666666665</v>
      </c>
      <c r="V161" s="1">
        <v>19500</v>
      </c>
      <c r="W161" s="1">
        <v>8016.2466666666669</v>
      </c>
      <c r="X161" s="1">
        <v>5699.5800000000017</v>
      </c>
      <c r="AB161" s="2" t="str">
        <f t="shared" si="2"/>
        <v>PASS</v>
      </c>
      <c r="AV161" s="1"/>
      <c r="AW161" s="1"/>
      <c r="AX161" s="1"/>
    </row>
    <row r="162" spans="1:50">
      <c r="A162" s="1" t="s">
        <v>188</v>
      </c>
      <c r="B162" s="1" t="s">
        <v>24</v>
      </c>
      <c r="C162" s="2">
        <v>46258.444349988429</v>
      </c>
      <c r="D162" s="2">
        <v>45060.062160532405</v>
      </c>
      <c r="E162" s="2">
        <v>46258.385591770835</v>
      </c>
      <c r="F162" s="1" t="s">
        <v>599</v>
      </c>
      <c r="G162" s="1" t="s">
        <v>25</v>
      </c>
      <c r="H162" s="3">
        <v>45059</v>
      </c>
      <c r="I162" s="1">
        <v>6259.0299999999988</v>
      </c>
      <c r="J162" s="1">
        <v>6880</v>
      </c>
      <c r="K162" s="1">
        <v>620.97000000000116</v>
      </c>
      <c r="L162" s="1">
        <v>2304.75</v>
      </c>
      <c r="M162" s="1">
        <v>4500</v>
      </c>
      <c r="N162" s="1">
        <v>2195.25</v>
      </c>
      <c r="O162" s="1">
        <v>30</v>
      </c>
      <c r="P162" s="1">
        <v>300</v>
      </c>
      <c r="Q162" s="1">
        <v>270</v>
      </c>
      <c r="R162" s="1">
        <v>2297.4999999999995</v>
      </c>
      <c r="S162" s="1">
        <v>2620</v>
      </c>
      <c r="T162" s="1">
        <v>322.50000000000045</v>
      </c>
      <c r="U162" s="1">
        <v>2316.6666666666665</v>
      </c>
      <c r="V162" s="1">
        <v>14300</v>
      </c>
      <c r="W162" s="1">
        <v>3408.7200000000016</v>
      </c>
      <c r="X162" s="1">
        <v>1092.0533333333351</v>
      </c>
      <c r="AB162" s="2" t="str">
        <f t="shared" si="2"/>
        <v>PASS</v>
      </c>
      <c r="AV162" s="1"/>
      <c r="AW162" s="1"/>
      <c r="AX162" s="1"/>
    </row>
    <row r="163" spans="1:50">
      <c r="A163" s="1" t="s">
        <v>189</v>
      </c>
      <c r="B163" s="1" t="s">
        <v>24</v>
      </c>
      <c r="C163" s="2">
        <v>46258.444351331018</v>
      </c>
      <c r="D163" s="2">
        <v>45061.029856597219</v>
      </c>
      <c r="E163" s="2">
        <v>46258.38559189815</v>
      </c>
      <c r="F163" s="1" t="s">
        <v>599</v>
      </c>
      <c r="G163" s="1" t="s">
        <v>25</v>
      </c>
      <c r="H163" s="3">
        <v>45060</v>
      </c>
      <c r="I163" s="1">
        <v>4925.7500000000009</v>
      </c>
      <c r="J163" s="1">
        <v>4580</v>
      </c>
      <c r="K163" s="1">
        <v>-345.75000000000091</v>
      </c>
      <c r="L163" s="1">
        <v>967.9000000000002</v>
      </c>
      <c r="M163" s="1">
        <v>750</v>
      </c>
      <c r="N163" s="1">
        <v>-217.9000000000002</v>
      </c>
      <c r="O163" s="1">
        <v>379.49</v>
      </c>
      <c r="P163" s="1">
        <v>2450</v>
      </c>
      <c r="Q163" s="1">
        <v>2070.5100000000002</v>
      </c>
      <c r="R163" s="1">
        <v>2836.6666666666665</v>
      </c>
      <c r="S163" s="1">
        <v>3290</v>
      </c>
      <c r="T163" s="1">
        <v>453.33333333333343</v>
      </c>
      <c r="U163" s="1">
        <v>2316.6666666666665</v>
      </c>
      <c r="V163" s="1">
        <v>11070</v>
      </c>
      <c r="W163" s="1">
        <v>1960.193333333332</v>
      </c>
      <c r="X163" s="1">
        <v>-356.47333333333427</v>
      </c>
      <c r="AB163" s="2" t="str">
        <f t="shared" si="2"/>
        <v>PASS</v>
      </c>
      <c r="AV163" s="1"/>
      <c r="AW163" s="1"/>
      <c r="AX163" s="1"/>
    </row>
    <row r="164" spans="1:50">
      <c r="A164" s="1" t="s">
        <v>190</v>
      </c>
      <c r="B164" s="1" t="s">
        <v>24</v>
      </c>
      <c r="C164" s="2">
        <v>46258.444353090279</v>
      </c>
      <c r="D164" s="2">
        <v>45061.994303680556</v>
      </c>
      <c r="E164" s="2">
        <v>46258.385591990744</v>
      </c>
      <c r="F164" s="1" t="s">
        <v>599</v>
      </c>
      <c r="G164" s="1" t="s">
        <v>25</v>
      </c>
      <c r="H164" s="3">
        <v>45061</v>
      </c>
      <c r="I164" s="1">
        <v>5106.6750000000002</v>
      </c>
      <c r="J164" s="1">
        <v>4580</v>
      </c>
      <c r="K164" s="1">
        <v>-526.67500000000018</v>
      </c>
      <c r="L164" s="1">
        <v>1228.7</v>
      </c>
      <c r="M164" s="1">
        <v>2000</v>
      </c>
      <c r="N164" s="1">
        <v>771.3</v>
      </c>
      <c r="O164" s="1">
        <v>85.489999999999952</v>
      </c>
      <c r="P164" s="1">
        <v>350</v>
      </c>
      <c r="Q164" s="1">
        <v>264.51000000000005</v>
      </c>
      <c r="R164" s="1">
        <v>2418.333333333333</v>
      </c>
      <c r="S164" s="1">
        <v>2950</v>
      </c>
      <c r="T164" s="1">
        <v>531.66666666666697</v>
      </c>
      <c r="U164" s="1">
        <v>2316.6666666666665</v>
      </c>
      <c r="V164" s="1">
        <v>9880</v>
      </c>
      <c r="W164" s="1">
        <v>1040.8016666666667</v>
      </c>
      <c r="X164" s="1">
        <v>-1275.8649999999998</v>
      </c>
      <c r="AB164" s="2" t="str">
        <f t="shared" si="2"/>
        <v>PASS</v>
      </c>
      <c r="AV164" s="1"/>
      <c r="AW164" s="1"/>
      <c r="AX164" s="1"/>
    </row>
    <row r="165" spans="1:50">
      <c r="A165" s="1" t="s">
        <v>191</v>
      </c>
      <c r="B165" s="1" t="s">
        <v>24</v>
      </c>
      <c r="C165" s="2">
        <v>46258.444354722225</v>
      </c>
      <c r="D165" s="2">
        <v>46256.365772291669</v>
      </c>
      <c r="E165" s="2">
        <v>46258.385592071761</v>
      </c>
      <c r="F165" s="1" t="s">
        <v>599</v>
      </c>
      <c r="G165" s="1" t="s">
        <v>25</v>
      </c>
      <c r="H165" s="3">
        <v>45062</v>
      </c>
      <c r="I165" s="1">
        <v>4780.1750000000011</v>
      </c>
      <c r="J165" s="1">
        <v>6430</v>
      </c>
      <c r="K165" s="1">
        <v>1649.8249999999989</v>
      </c>
      <c r="L165" s="1">
        <v>1599.1999999999998</v>
      </c>
      <c r="M165" s="1">
        <v>2750</v>
      </c>
      <c r="N165" s="1">
        <v>1150.8000000000002</v>
      </c>
      <c r="O165" s="1">
        <v>30</v>
      </c>
      <c r="P165" s="1">
        <v>300</v>
      </c>
      <c r="Q165" s="1">
        <v>270</v>
      </c>
      <c r="R165" s="1">
        <v>1752.4999999999998</v>
      </c>
      <c r="S165" s="1">
        <v>2330</v>
      </c>
      <c r="T165" s="1">
        <v>577.50000000000023</v>
      </c>
      <c r="U165" s="1">
        <v>2316.6666666666665</v>
      </c>
      <c r="V165" s="1">
        <v>11810</v>
      </c>
      <c r="W165" s="1">
        <v>3648.1249999999991</v>
      </c>
      <c r="X165" s="1">
        <v>1331.4583333333326</v>
      </c>
      <c r="AB165" s="2" t="str">
        <f t="shared" si="2"/>
        <v>PASS</v>
      </c>
      <c r="AV165" s="1"/>
      <c r="AW165" s="1"/>
      <c r="AX165" s="1"/>
    </row>
    <row r="166" spans="1:50">
      <c r="A166" s="1" t="s">
        <v>192</v>
      </c>
      <c r="B166" s="1" t="s">
        <v>24</v>
      </c>
      <c r="C166" s="2">
        <v>46258.444356250002</v>
      </c>
      <c r="D166" s="2">
        <v>46256.365853171294</v>
      </c>
      <c r="E166" s="2">
        <v>46258.385592395833</v>
      </c>
      <c r="F166" s="1" t="s">
        <v>599</v>
      </c>
      <c r="G166" s="1" t="s">
        <v>25</v>
      </c>
      <c r="H166" s="3">
        <v>45063</v>
      </c>
      <c r="I166" s="1">
        <v>5782.8549999999996</v>
      </c>
      <c r="J166" s="1">
        <v>7160</v>
      </c>
      <c r="K166" s="1">
        <v>1377.1450000000004</v>
      </c>
      <c r="L166" s="1">
        <v>3075.05</v>
      </c>
      <c r="M166" s="1">
        <v>3750</v>
      </c>
      <c r="N166" s="1">
        <v>674.94999999999982</v>
      </c>
      <c r="O166" s="1">
        <v>210</v>
      </c>
      <c r="P166" s="1">
        <v>2100</v>
      </c>
      <c r="Q166" s="1">
        <v>1890</v>
      </c>
      <c r="R166" s="1">
        <v>1776.666666666667</v>
      </c>
      <c r="S166" s="1">
        <v>2260</v>
      </c>
      <c r="T166" s="1">
        <v>483.33333333333303</v>
      </c>
      <c r="U166" s="1">
        <v>2316.6666666666665</v>
      </c>
      <c r="V166" s="1">
        <v>15270</v>
      </c>
      <c r="W166" s="1">
        <v>4425.4283333333333</v>
      </c>
      <c r="X166" s="1">
        <v>2108.7616666666668</v>
      </c>
      <c r="AB166" s="2" t="str">
        <f t="shared" si="2"/>
        <v>PASS</v>
      </c>
      <c r="AV166" s="1"/>
      <c r="AW166" s="1"/>
      <c r="AX166" s="1"/>
    </row>
    <row r="167" spans="1:50">
      <c r="A167" s="1" t="s">
        <v>193</v>
      </c>
      <c r="B167" s="1" t="s">
        <v>24</v>
      </c>
      <c r="C167" s="2">
        <v>46258.444357743057</v>
      </c>
      <c r="D167" s="2">
        <v>46256.365907349536</v>
      </c>
      <c r="E167" s="2">
        <v>46258.385592534723</v>
      </c>
      <c r="F167" s="1" t="s">
        <v>599</v>
      </c>
      <c r="G167" s="1" t="s">
        <v>25</v>
      </c>
      <c r="H167" s="3">
        <v>45064</v>
      </c>
      <c r="I167" s="1">
        <v>5588.05</v>
      </c>
      <c r="J167" s="1">
        <v>6400</v>
      </c>
      <c r="K167" s="1">
        <v>811.94999999999982</v>
      </c>
      <c r="L167" s="1">
        <v>539.20000000000005</v>
      </c>
      <c r="M167" s="1">
        <v>500</v>
      </c>
      <c r="N167" s="1">
        <v>-39.200000000000045</v>
      </c>
      <c r="O167" s="1">
        <v>338</v>
      </c>
      <c r="P167" s="1">
        <v>2000</v>
      </c>
      <c r="Q167" s="1">
        <v>1662</v>
      </c>
      <c r="R167" s="1">
        <v>1040.8333333333333</v>
      </c>
      <c r="S167" s="1">
        <v>1410</v>
      </c>
      <c r="T167" s="1">
        <v>369.16666666666674</v>
      </c>
      <c r="U167" s="1">
        <v>2316.6666666666665</v>
      </c>
      <c r="V167" s="1">
        <v>10310</v>
      </c>
      <c r="W167" s="1">
        <v>2803.916666666667</v>
      </c>
      <c r="X167" s="1">
        <v>487.25000000000045</v>
      </c>
      <c r="AB167" s="2" t="str">
        <f t="shared" si="2"/>
        <v>PASS</v>
      </c>
      <c r="AV167" s="1"/>
      <c r="AW167" s="1"/>
      <c r="AX167" s="1"/>
    </row>
    <row r="168" spans="1:50">
      <c r="A168" s="1" t="s">
        <v>194</v>
      </c>
      <c r="B168" s="1" t="s">
        <v>24</v>
      </c>
      <c r="C168" s="2">
        <v>46258.44435946759</v>
      </c>
      <c r="D168" s="2">
        <v>46256.365968379629</v>
      </c>
      <c r="E168" s="2">
        <v>46258.385592604165</v>
      </c>
      <c r="F168" s="1" t="s">
        <v>599</v>
      </c>
      <c r="G168" s="1" t="s">
        <v>25</v>
      </c>
      <c r="H168" s="3">
        <v>45065</v>
      </c>
      <c r="I168" s="1">
        <v>4005.835</v>
      </c>
      <c r="J168" s="1">
        <v>4630</v>
      </c>
      <c r="K168" s="1">
        <v>624.16500000000042</v>
      </c>
      <c r="L168" s="1">
        <v>879.99999999999989</v>
      </c>
      <c r="M168" s="1">
        <v>1750</v>
      </c>
      <c r="N168" s="1">
        <v>870.00000000000011</v>
      </c>
      <c r="O168" s="1">
        <v>30</v>
      </c>
      <c r="P168" s="1">
        <v>250</v>
      </c>
      <c r="Q168" s="1">
        <v>220</v>
      </c>
      <c r="R168" s="1">
        <v>2195.833333333333</v>
      </c>
      <c r="S168" s="1">
        <v>2770</v>
      </c>
      <c r="T168" s="1">
        <v>574.16666666666697</v>
      </c>
      <c r="U168" s="1">
        <v>2316.6666666666665</v>
      </c>
      <c r="V168" s="1">
        <v>9400</v>
      </c>
      <c r="W168" s="1">
        <v>2288.3316666666678</v>
      </c>
      <c r="X168" s="1">
        <v>-28.334999999998672</v>
      </c>
      <c r="AB168" s="2" t="str">
        <f t="shared" si="2"/>
        <v>PASS</v>
      </c>
      <c r="AV168" s="1"/>
      <c r="AW168" s="1"/>
      <c r="AX168" s="1"/>
    </row>
    <row r="169" spans="1:50">
      <c r="A169" s="1" t="s">
        <v>195</v>
      </c>
      <c r="B169" s="1" t="s">
        <v>24</v>
      </c>
      <c r="C169" s="2">
        <v>46258.444361319445</v>
      </c>
      <c r="D169" s="2">
        <v>45067.018689583332</v>
      </c>
      <c r="E169" s="2">
        <v>46258.38559273148</v>
      </c>
      <c r="F169" s="1" t="s">
        <v>599</v>
      </c>
      <c r="G169" s="1" t="s">
        <v>25</v>
      </c>
      <c r="H169" s="3">
        <v>45066</v>
      </c>
      <c r="I169" s="1">
        <v>4038.5349999999985</v>
      </c>
      <c r="J169" s="1">
        <v>4190</v>
      </c>
      <c r="K169" s="1">
        <v>151.46500000000151</v>
      </c>
      <c r="L169" s="1">
        <v>925.00000000000011</v>
      </c>
      <c r="M169" s="1">
        <v>750</v>
      </c>
      <c r="N169" s="1">
        <v>-175.00000000000011</v>
      </c>
      <c r="O169" s="1">
        <v>410</v>
      </c>
      <c r="P169" s="1">
        <v>1700</v>
      </c>
      <c r="Q169" s="1">
        <v>1290</v>
      </c>
      <c r="R169" s="1">
        <v>2263.333333333333</v>
      </c>
      <c r="S169" s="1">
        <v>2860</v>
      </c>
      <c r="T169" s="1">
        <v>596.66666666666697</v>
      </c>
      <c r="U169" s="1">
        <v>2316.6666666666665</v>
      </c>
      <c r="V169" s="1">
        <v>9500</v>
      </c>
      <c r="W169" s="1">
        <v>1863.1316666666685</v>
      </c>
      <c r="X169" s="1">
        <v>-453.53499999999809</v>
      </c>
      <c r="AB169" s="2" t="str">
        <f t="shared" si="2"/>
        <v>PASS</v>
      </c>
      <c r="AV169" s="1"/>
      <c r="AW169" s="1"/>
      <c r="AX169" s="1"/>
    </row>
    <row r="170" spans="1:50">
      <c r="A170" s="1" t="s">
        <v>196</v>
      </c>
      <c r="B170" s="1" t="s">
        <v>24</v>
      </c>
      <c r="C170" s="2">
        <v>46258.444362812501</v>
      </c>
      <c r="D170" s="2">
        <v>45068.006524293982</v>
      </c>
      <c r="E170" s="2">
        <v>46258.385592997685</v>
      </c>
      <c r="F170" s="1" t="s">
        <v>599</v>
      </c>
      <c r="G170" s="1" t="s">
        <v>25</v>
      </c>
      <c r="H170" s="3">
        <v>45067</v>
      </c>
      <c r="I170" s="1">
        <v>3456.9100000000012</v>
      </c>
      <c r="J170" s="1">
        <v>4190</v>
      </c>
      <c r="K170" s="1">
        <v>733.08999999999867</v>
      </c>
      <c r="L170" s="1">
        <v>1824.5</v>
      </c>
      <c r="M170" s="1">
        <v>3500</v>
      </c>
      <c r="N170" s="1">
        <v>1675.4999999999998</v>
      </c>
      <c r="O170" s="1">
        <v>128</v>
      </c>
      <c r="P170" s="1">
        <v>500</v>
      </c>
      <c r="Q170" s="1">
        <v>372</v>
      </c>
      <c r="R170" s="1">
        <v>2110</v>
      </c>
      <c r="S170" s="1">
        <v>2320</v>
      </c>
      <c r="T170" s="1">
        <v>210</v>
      </c>
      <c r="U170" s="1">
        <v>2316.6666666666665</v>
      </c>
      <c r="V170" s="1">
        <v>10510</v>
      </c>
      <c r="W170" s="1">
        <v>2990.5899999999983</v>
      </c>
      <c r="X170" s="1">
        <v>673.92333333333181</v>
      </c>
      <c r="AB170" s="2" t="str">
        <f t="shared" si="2"/>
        <v>PASS</v>
      </c>
      <c r="AV170" s="1"/>
      <c r="AW170" s="1"/>
      <c r="AX170" s="1"/>
    </row>
    <row r="171" spans="1:50">
      <c r="A171" s="1" t="s">
        <v>197</v>
      </c>
      <c r="B171" s="1" t="s">
        <v>24</v>
      </c>
      <c r="C171" s="2">
        <v>46258.444364432871</v>
      </c>
      <c r="D171" s="2">
        <v>45068.034977361109</v>
      </c>
      <c r="E171" s="2">
        <v>46258.385593078703</v>
      </c>
      <c r="F171" s="1" t="s">
        <v>599</v>
      </c>
      <c r="G171" s="1" t="s">
        <v>25</v>
      </c>
      <c r="H171" s="3">
        <v>45068</v>
      </c>
      <c r="I171" s="1">
        <v>3456.9100000000012</v>
      </c>
      <c r="J171" s="1">
        <v>4310</v>
      </c>
      <c r="K171" s="1">
        <v>853.08999999999867</v>
      </c>
      <c r="L171" s="1">
        <v>1824.5</v>
      </c>
      <c r="M171" s="1">
        <v>3500</v>
      </c>
      <c r="N171" s="1">
        <v>1675.4999999999998</v>
      </c>
      <c r="O171" s="1">
        <v>128</v>
      </c>
      <c r="P171" s="1">
        <v>500</v>
      </c>
      <c r="Q171" s="1">
        <v>372</v>
      </c>
      <c r="R171" s="1">
        <v>2110</v>
      </c>
      <c r="S171" s="1">
        <v>2320</v>
      </c>
      <c r="T171" s="1">
        <v>210</v>
      </c>
      <c r="U171" s="1">
        <v>2316.6666666666665</v>
      </c>
      <c r="V171" s="1">
        <v>10630</v>
      </c>
      <c r="W171" s="1">
        <v>3110.5899999999983</v>
      </c>
      <c r="X171" s="1">
        <v>793.92333333333181</v>
      </c>
      <c r="AB171" s="2" t="str">
        <f t="shared" si="2"/>
        <v>PASS</v>
      </c>
      <c r="AV171" s="1"/>
      <c r="AW171" s="1"/>
      <c r="AX171" s="1"/>
    </row>
    <row r="172" spans="1:50">
      <c r="A172" s="1" t="s">
        <v>198</v>
      </c>
      <c r="B172" s="1" t="s">
        <v>24</v>
      </c>
      <c r="C172" s="2">
        <v>46258.444365914351</v>
      </c>
      <c r="D172" s="2">
        <v>45070.033658773151</v>
      </c>
      <c r="E172" s="2">
        <v>46258.385593148145</v>
      </c>
      <c r="F172" s="1" t="s">
        <v>599</v>
      </c>
      <c r="G172" s="1" t="s">
        <v>25</v>
      </c>
      <c r="H172" s="3">
        <v>45069</v>
      </c>
      <c r="I172" s="1">
        <v>4157.25</v>
      </c>
      <c r="J172" s="1">
        <v>4300</v>
      </c>
      <c r="K172" s="1">
        <v>142.75</v>
      </c>
      <c r="L172" s="1">
        <v>2636</v>
      </c>
      <c r="M172" s="1">
        <v>4750</v>
      </c>
      <c r="N172" s="1">
        <v>2114</v>
      </c>
      <c r="O172" s="1">
        <v>253.83</v>
      </c>
      <c r="P172" s="1">
        <v>930</v>
      </c>
      <c r="Q172" s="1">
        <v>676.17</v>
      </c>
      <c r="R172" s="1">
        <v>1204.1666666666667</v>
      </c>
      <c r="S172" s="1">
        <v>1370</v>
      </c>
      <c r="T172" s="1">
        <v>165.83333333333326</v>
      </c>
      <c r="U172" s="1">
        <v>2316.6666666666665</v>
      </c>
      <c r="V172" s="1">
        <v>11350</v>
      </c>
      <c r="W172" s="1">
        <v>3098.7533333333331</v>
      </c>
      <c r="X172" s="1">
        <v>782.08666666666659</v>
      </c>
      <c r="AB172" s="2" t="str">
        <f t="shared" si="2"/>
        <v>PASS</v>
      </c>
      <c r="AV172" s="1"/>
      <c r="AW172" s="1"/>
      <c r="AX172" s="1"/>
    </row>
    <row r="173" spans="1:50">
      <c r="A173" s="1" t="s">
        <v>199</v>
      </c>
      <c r="B173" s="1" t="s">
        <v>24</v>
      </c>
      <c r="C173" s="2">
        <v>46258.444367453703</v>
      </c>
      <c r="D173" s="2">
        <v>46256.366031458332</v>
      </c>
      <c r="E173" s="2">
        <v>46258.385593217594</v>
      </c>
      <c r="F173" s="1" t="s">
        <v>599</v>
      </c>
      <c r="G173" s="1" t="s">
        <v>25</v>
      </c>
      <c r="H173" s="3">
        <v>45070</v>
      </c>
      <c r="I173" s="1">
        <v>4490.2699999999995</v>
      </c>
      <c r="J173" s="1">
        <v>6040</v>
      </c>
      <c r="K173" s="1">
        <v>1549.7300000000005</v>
      </c>
      <c r="L173" s="1">
        <v>2165.2000000000007</v>
      </c>
      <c r="M173" s="1">
        <v>4000</v>
      </c>
      <c r="N173" s="1">
        <v>1834.7999999999993</v>
      </c>
      <c r="O173" s="1">
        <v>0</v>
      </c>
      <c r="P173" s="1">
        <v>1800</v>
      </c>
      <c r="Q173" s="1">
        <v>1800</v>
      </c>
      <c r="R173" s="1">
        <v>1970.8333333333333</v>
      </c>
      <c r="S173" s="1">
        <v>2170</v>
      </c>
      <c r="T173" s="1">
        <v>199.16666666666671</v>
      </c>
      <c r="U173" s="1">
        <v>2316.6666666666665</v>
      </c>
      <c r="V173" s="1">
        <v>14010</v>
      </c>
      <c r="W173" s="1">
        <v>5383.6966666666667</v>
      </c>
      <c r="X173" s="1">
        <v>3067.03</v>
      </c>
      <c r="AB173" s="2" t="str">
        <f t="shared" si="2"/>
        <v>PASS</v>
      </c>
      <c r="AV173" s="1"/>
      <c r="AW173" s="1"/>
      <c r="AX173" s="1"/>
    </row>
    <row r="174" spans="1:50">
      <c r="A174" s="1" t="s">
        <v>200</v>
      </c>
      <c r="B174" s="1" t="s">
        <v>24</v>
      </c>
      <c r="C174" s="2">
        <v>46258.444368946759</v>
      </c>
      <c r="D174" s="2">
        <v>45072.023126539352</v>
      </c>
      <c r="E174" s="2">
        <v>46258.385593449071</v>
      </c>
      <c r="F174" s="1" t="s">
        <v>599</v>
      </c>
      <c r="G174" s="1" t="s">
        <v>25</v>
      </c>
      <c r="H174" s="3">
        <v>45071</v>
      </c>
      <c r="I174" s="1">
        <v>4890.7649999999985</v>
      </c>
      <c r="J174" s="1">
        <v>5580</v>
      </c>
      <c r="K174" s="1">
        <v>689.23500000000149</v>
      </c>
      <c r="L174" s="1">
        <v>1879.6</v>
      </c>
      <c r="M174" s="1">
        <v>2500</v>
      </c>
      <c r="N174" s="1">
        <v>620.39999999999986</v>
      </c>
      <c r="O174" s="1">
        <v>211.66000000000003</v>
      </c>
      <c r="P174" s="1">
        <v>1250</v>
      </c>
      <c r="Q174" s="1">
        <v>1038.3399999999999</v>
      </c>
      <c r="R174" s="1">
        <v>1828.3333333333333</v>
      </c>
      <c r="S174" s="1">
        <v>2140</v>
      </c>
      <c r="T174" s="1">
        <v>311.66666666666674</v>
      </c>
      <c r="U174" s="1">
        <v>2316.6666666666665</v>
      </c>
      <c r="V174" s="1">
        <v>11470</v>
      </c>
      <c r="W174" s="1">
        <v>2659.6416666666678</v>
      </c>
      <c r="X174" s="1">
        <v>342.97500000000173</v>
      </c>
      <c r="AB174" s="2" t="str">
        <f t="shared" si="2"/>
        <v>PASS</v>
      </c>
      <c r="AV174" s="1"/>
      <c r="AW174" s="1"/>
      <c r="AX174" s="1"/>
    </row>
    <row r="175" spans="1:50">
      <c r="A175" s="1" t="s">
        <v>201</v>
      </c>
      <c r="B175" s="1" t="s">
        <v>24</v>
      </c>
      <c r="C175" s="2">
        <v>46258.44437041667</v>
      </c>
      <c r="D175" s="2">
        <v>45073.030820613429</v>
      </c>
      <c r="E175" s="2">
        <v>46258.38559366898</v>
      </c>
      <c r="F175" s="1" t="s">
        <v>599</v>
      </c>
      <c r="G175" s="1" t="s">
        <v>25</v>
      </c>
      <c r="H175" s="3">
        <v>45072</v>
      </c>
      <c r="I175" s="1">
        <v>5837.6299999999983</v>
      </c>
      <c r="J175" s="1">
        <v>7150</v>
      </c>
      <c r="K175" s="1">
        <v>1312.3700000000017</v>
      </c>
      <c r="L175" s="1">
        <v>2154.1000000000004</v>
      </c>
      <c r="M175" s="1">
        <v>2000</v>
      </c>
      <c r="N175" s="1">
        <v>-154.10000000000036</v>
      </c>
      <c r="O175" s="1">
        <v>223.32000000000002</v>
      </c>
      <c r="P175" s="1">
        <v>3050</v>
      </c>
      <c r="Q175" s="1">
        <v>2826.68</v>
      </c>
      <c r="R175" s="1">
        <v>1871.6666666666663</v>
      </c>
      <c r="S175" s="1">
        <v>2500</v>
      </c>
      <c r="T175" s="1">
        <v>628.33333333333348</v>
      </c>
      <c r="U175" s="1">
        <v>2316.6666666666665</v>
      </c>
      <c r="V175" s="1">
        <v>14700</v>
      </c>
      <c r="W175" s="1">
        <v>4613.2833333333347</v>
      </c>
      <c r="X175" s="1">
        <v>2296.6166666666682</v>
      </c>
      <c r="AB175" s="2" t="str">
        <f t="shared" si="2"/>
        <v>PASS</v>
      </c>
      <c r="AV175" s="1"/>
      <c r="AW175" s="1"/>
      <c r="AX175" s="1"/>
    </row>
    <row r="176" spans="1:50">
      <c r="A176" s="1" t="s">
        <v>202</v>
      </c>
      <c r="B176" s="1" t="s">
        <v>24</v>
      </c>
      <c r="C176" s="2">
        <v>46258.444372013888</v>
      </c>
      <c r="D176" s="2">
        <v>45074.032056076387</v>
      </c>
      <c r="E176" s="2">
        <v>46258.385593738429</v>
      </c>
      <c r="F176" s="1" t="s">
        <v>599</v>
      </c>
      <c r="G176" s="1" t="s">
        <v>25</v>
      </c>
      <c r="H176" s="3">
        <v>45073</v>
      </c>
      <c r="I176" s="1">
        <v>4867.99</v>
      </c>
      <c r="J176" s="1">
        <v>5150</v>
      </c>
      <c r="K176" s="1">
        <v>282.01000000000022</v>
      </c>
      <c r="L176" s="1">
        <v>1980.8</v>
      </c>
      <c r="M176" s="1">
        <v>2500</v>
      </c>
      <c r="N176" s="1">
        <v>519.19999999999982</v>
      </c>
      <c r="O176" s="1">
        <v>147.65999999999994</v>
      </c>
      <c r="P176" s="1">
        <v>1850</v>
      </c>
      <c r="Q176" s="1">
        <v>1702.3400000000001</v>
      </c>
      <c r="R176" s="1">
        <v>1879.1666666666663</v>
      </c>
      <c r="S176" s="1">
        <v>2270</v>
      </c>
      <c r="T176" s="1">
        <v>390.83333333333343</v>
      </c>
      <c r="U176" s="1">
        <v>2316.6666666666665</v>
      </c>
      <c r="V176" s="1">
        <v>11770</v>
      </c>
      <c r="W176" s="1">
        <v>2894.3833333333337</v>
      </c>
      <c r="X176" s="1">
        <v>577.71666666666715</v>
      </c>
      <c r="AB176" s="2" t="str">
        <f t="shared" si="2"/>
        <v>PASS</v>
      </c>
      <c r="AV176" s="1"/>
      <c r="AW176" s="1"/>
      <c r="AX176" s="1"/>
    </row>
    <row r="177" spans="1:50">
      <c r="A177" s="1" t="s">
        <v>203</v>
      </c>
      <c r="B177" s="1" t="s">
        <v>24</v>
      </c>
      <c r="C177" s="2">
        <v>46258.444373530096</v>
      </c>
      <c r="D177" s="2">
        <v>45075.109476006946</v>
      </c>
      <c r="E177" s="2">
        <v>46258.385593831015</v>
      </c>
      <c r="F177" s="1" t="s">
        <v>599</v>
      </c>
      <c r="G177" s="1" t="s">
        <v>25</v>
      </c>
      <c r="H177" s="3">
        <v>45074</v>
      </c>
      <c r="I177" s="1">
        <v>6949.1600000000008</v>
      </c>
      <c r="J177" s="1">
        <v>5080</v>
      </c>
      <c r="K177" s="1">
        <v>-1869.1600000000008</v>
      </c>
      <c r="L177" s="1">
        <v>2254.0499999999997</v>
      </c>
      <c r="M177" s="1">
        <v>3000</v>
      </c>
      <c r="N177" s="1">
        <v>745.95000000000027</v>
      </c>
      <c r="O177" s="1">
        <v>385.49</v>
      </c>
      <c r="P177" s="1">
        <v>2200</v>
      </c>
      <c r="Q177" s="1">
        <v>1814.51</v>
      </c>
      <c r="R177" s="1">
        <v>1986.6666666666663</v>
      </c>
      <c r="S177" s="1">
        <v>2380</v>
      </c>
      <c r="T177" s="1">
        <v>393.33333333333343</v>
      </c>
      <c r="U177" s="1">
        <v>2316.6666666666665</v>
      </c>
      <c r="V177" s="1">
        <v>12660</v>
      </c>
      <c r="W177" s="1">
        <v>1084.633333333333</v>
      </c>
      <c r="X177" s="1">
        <v>-1232.0333333333335</v>
      </c>
      <c r="AB177" s="2" t="str">
        <f t="shared" si="2"/>
        <v>PASS</v>
      </c>
      <c r="AV177" s="1"/>
      <c r="AW177" s="1"/>
      <c r="AX177" s="1"/>
    </row>
    <row r="178" spans="1:50">
      <c r="A178" s="1" t="s">
        <v>204</v>
      </c>
      <c r="B178" s="1" t="s">
        <v>24</v>
      </c>
      <c r="C178" s="2">
        <v>46258.444375243052</v>
      </c>
      <c r="D178" s="2">
        <v>45076.04299303241</v>
      </c>
      <c r="E178" s="2">
        <v>46258.385593935185</v>
      </c>
      <c r="F178" s="1" t="s">
        <v>599</v>
      </c>
      <c r="G178" s="1" t="s">
        <v>25</v>
      </c>
      <c r="H178" s="3">
        <v>45075</v>
      </c>
      <c r="I178" s="1">
        <v>5420.5099999999984</v>
      </c>
      <c r="J178" s="1">
        <v>5620</v>
      </c>
      <c r="K178" s="1">
        <v>199.4900000000016</v>
      </c>
      <c r="L178" s="1">
        <v>3167.4</v>
      </c>
      <c r="M178" s="1">
        <v>4250</v>
      </c>
      <c r="N178" s="1">
        <v>1082.5999999999999</v>
      </c>
      <c r="O178" s="1">
        <v>237.83</v>
      </c>
      <c r="P178" s="1">
        <v>2750</v>
      </c>
      <c r="Q178" s="1">
        <v>2512.17</v>
      </c>
      <c r="R178" s="1">
        <v>1123.3333333333333</v>
      </c>
      <c r="S178" s="1">
        <v>1440</v>
      </c>
      <c r="T178" s="1">
        <v>316.66666666666674</v>
      </c>
      <c r="U178" s="1">
        <v>2316.6666666666665</v>
      </c>
      <c r="V178" s="1">
        <v>14060</v>
      </c>
      <c r="W178" s="1">
        <v>4110.9266666666681</v>
      </c>
      <c r="X178" s="1">
        <v>1794.2600000000016</v>
      </c>
      <c r="AB178" s="2" t="str">
        <f t="shared" si="2"/>
        <v>PASS</v>
      </c>
      <c r="AV178" s="1"/>
      <c r="AW178" s="1"/>
      <c r="AX178" s="1"/>
    </row>
    <row r="179" spans="1:50">
      <c r="A179" s="1" t="s">
        <v>205</v>
      </c>
      <c r="B179" s="1" t="s">
        <v>24</v>
      </c>
      <c r="C179" s="2">
        <v>46258.444377083331</v>
      </c>
      <c r="D179" s="2">
        <v>45077.020851111112</v>
      </c>
      <c r="E179" s="2">
        <v>46258.38559435185</v>
      </c>
      <c r="F179" s="1" t="s">
        <v>599</v>
      </c>
      <c r="G179" s="1" t="s">
        <v>25</v>
      </c>
      <c r="H179" s="3">
        <v>45076</v>
      </c>
      <c r="I179" s="1">
        <v>5444.2750000000024</v>
      </c>
      <c r="J179" s="1">
        <v>5670</v>
      </c>
      <c r="K179" s="1">
        <v>225.72499999999764</v>
      </c>
      <c r="L179" s="1">
        <v>3629.55</v>
      </c>
      <c r="M179" s="1">
        <v>5500</v>
      </c>
      <c r="N179" s="1">
        <v>1870.4500000000005</v>
      </c>
      <c r="O179" s="1">
        <v>260</v>
      </c>
      <c r="P179" s="1">
        <v>2750</v>
      </c>
      <c r="Q179" s="1">
        <v>2490</v>
      </c>
      <c r="R179" s="1">
        <v>1545.8333333333337</v>
      </c>
      <c r="S179" s="1">
        <v>1730</v>
      </c>
      <c r="T179" s="1">
        <v>184.16666666666652</v>
      </c>
      <c r="U179" s="1">
        <v>2316.6666666666665</v>
      </c>
      <c r="V179" s="1">
        <v>15650</v>
      </c>
      <c r="W179" s="1">
        <v>4770.3416666666635</v>
      </c>
      <c r="X179" s="1">
        <v>2453.674999999997</v>
      </c>
      <c r="AB179" s="2" t="str">
        <f t="shared" si="2"/>
        <v>PASS</v>
      </c>
      <c r="AV179" s="1"/>
      <c r="AW179" s="1"/>
      <c r="AX179" s="1"/>
    </row>
    <row r="180" spans="1:50">
      <c r="A180" s="1" t="s">
        <v>206</v>
      </c>
      <c r="B180" s="1" t="s">
        <v>24</v>
      </c>
      <c r="C180" s="2">
        <v>46258.444378460648</v>
      </c>
      <c r="D180" s="2">
        <v>45078.125453113425</v>
      </c>
      <c r="E180" s="2">
        <v>46258.385594432868</v>
      </c>
      <c r="F180" s="1" t="s">
        <v>599</v>
      </c>
      <c r="G180" s="1" t="s">
        <v>25</v>
      </c>
      <c r="H180" s="3">
        <v>45077</v>
      </c>
      <c r="I180" s="1">
        <v>4815.5549999999994</v>
      </c>
      <c r="J180" s="1">
        <v>5740</v>
      </c>
      <c r="K180" s="1">
        <v>924.44500000000062</v>
      </c>
      <c r="L180" s="1">
        <v>1701.2000000000005</v>
      </c>
      <c r="M180" s="1">
        <v>2000</v>
      </c>
      <c r="N180" s="1">
        <v>298.79999999999973</v>
      </c>
      <c r="O180" s="1">
        <v>260</v>
      </c>
      <c r="P180" s="1">
        <v>2250</v>
      </c>
      <c r="Q180" s="1">
        <v>1990</v>
      </c>
      <c r="R180" s="1">
        <v>872.5</v>
      </c>
      <c r="S180" s="1">
        <v>1210</v>
      </c>
      <c r="T180" s="1">
        <v>337.5</v>
      </c>
      <c r="U180" s="1">
        <v>2316.6666666666665</v>
      </c>
      <c r="V180" s="1">
        <v>11200</v>
      </c>
      <c r="W180" s="1">
        <v>3550.7450000000003</v>
      </c>
      <c r="X180" s="1">
        <v>1234.0783333333338</v>
      </c>
      <c r="AB180" s="2" t="str">
        <f t="shared" si="2"/>
        <v>PASS</v>
      </c>
      <c r="AV180" s="1"/>
      <c r="AW180" s="1"/>
      <c r="AX180" s="1"/>
    </row>
    <row r="181" spans="1:50">
      <c r="A181" s="1" t="s">
        <v>207</v>
      </c>
      <c r="B181" s="1" t="s">
        <v>24</v>
      </c>
      <c r="C181" s="2">
        <v>46258.444379780092</v>
      </c>
      <c r="D181" s="2">
        <v>45079.045217430554</v>
      </c>
      <c r="E181" s="2">
        <v>46258.385581620372</v>
      </c>
      <c r="F181" s="1" t="s">
        <v>600</v>
      </c>
      <c r="G181" s="1" t="s">
        <v>25</v>
      </c>
      <c r="H181" s="3">
        <v>45078</v>
      </c>
      <c r="I181" s="1">
        <v>7191.2250000000004</v>
      </c>
      <c r="J181" s="1">
        <v>8450</v>
      </c>
      <c r="K181" s="1">
        <v>1258.7749999999996</v>
      </c>
      <c r="L181" s="1">
        <v>1701.9</v>
      </c>
      <c r="M181" s="1">
        <v>3000</v>
      </c>
      <c r="N181" s="1">
        <v>1298.0999999999999</v>
      </c>
      <c r="O181" s="1">
        <v>164</v>
      </c>
      <c r="P181" s="1">
        <v>1500</v>
      </c>
      <c r="Q181" s="1">
        <v>1336</v>
      </c>
      <c r="R181" s="1">
        <v>659.16666666666663</v>
      </c>
      <c r="S181" s="1">
        <v>870</v>
      </c>
      <c r="T181" s="1">
        <v>210.83333333333337</v>
      </c>
      <c r="U181" s="1">
        <v>2316.6666666666665</v>
      </c>
      <c r="V181" s="1">
        <v>13820</v>
      </c>
      <c r="W181" s="1">
        <v>4103.708333333333</v>
      </c>
      <c r="X181" s="1">
        <v>1787.0416666666663</v>
      </c>
      <c r="AB181" s="2" t="str">
        <f t="shared" si="2"/>
        <v>PASS</v>
      </c>
      <c r="AV181" s="1"/>
      <c r="AW181" s="1"/>
      <c r="AX181" s="1"/>
    </row>
    <row r="182" spans="1:50">
      <c r="A182" s="1" t="s">
        <v>208</v>
      </c>
      <c r="B182" s="1" t="s">
        <v>24</v>
      </c>
      <c r="C182" s="2">
        <v>46258.444381145833</v>
      </c>
      <c r="D182" s="2">
        <v>45080.004247847224</v>
      </c>
      <c r="E182" s="2">
        <v>46258.385581689814</v>
      </c>
      <c r="F182" s="1" t="s">
        <v>600</v>
      </c>
      <c r="G182" s="1" t="s">
        <v>25</v>
      </c>
      <c r="H182" s="3">
        <v>45079</v>
      </c>
      <c r="I182" s="1">
        <v>5258.7999999999984</v>
      </c>
      <c r="J182" s="1">
        <v>5010</v>
      </c>
      <c r="K182" s="1">
        <v>-248.79999999999836</v>
      </c>
      <c r="L182" s="1">
        <v>2576.1999999999998</v>
      </c>
      <c r="M182" s="1">
        <v>3250</v>
      </c>
      <c r="N182" s="1">
        <v>673.80000000000018</v>
      </c>
      <c r="O182" s="1">
        <v>161</v>
      </c>
      <c r="P182" s="1">
        <v>1120</v>
      </c>
      <c r="Q182" s="1">
        <v>959</v>
      </c>
      <c r="R182" s="1">
        <v>1201.6666666666667</v>
      </c>
      <c r="S182" s="1">
        <v>1520</v>
      </c>
      <c r="T182" s="1">
        <v>318.33333333333326</v>
      </c>
      <c r="U182" s="1">
        <v>2316.6666666666665</v>
      </c>
      <c r="V182" s="1">
        <v>10900</v>
      </c>
      <c r="W182" s="1">
        <v>1702.3333333333353</v>
      </c>
      <c r="X182" s="1">
        <v>-614.33333333333144</v>
      </c>
      <c r="AB182" s="2" t="str">
        <f t="shared" si="2"/>
        <v>PASS</v>
      </c>
      <c r="AV182" s="1"/>
      <c r="AW182" s="1"/>
      <c r="AX182" s="1"/>
    </row>
    <row r="183" spans="1:50">
      <c r="A183" s="1" t="s">
        <v>209</v>
      </c>
      <c r="B183" s="1" t="s">
        <v>24</v>
      </c>
      <c r="C183" s="2">
        <v>46258.444382199072</v>
      </c>
      <c r="D183" s="2">
        <v>45081.048449270835</v>
      </c>
      <c r="E183" s="2">
        <v>46258.385581770832</v>
      </c>
      <c r="F183" s="1" t="s">
        <v>600</v>
      </c>
      <c r="G183" s="1" t="s">
        <v>25</v>
      </c>
      <c r="H183" s="3">
        <v>45080</v>
      </c>
      <c r="I183" s="1">
        <v>4419.010000000002</v>
      </c>
      <c r="J183" s="1">
        <v>5980</v>
      </c>
      <c r="K183" s="1">
        <v>1560.989999999998</v>
      </c>
      <c r="L183" s="1">
        <v>1977.05</v>
      </c>
      <c r="M183" s="1">
        <v>2610</v>
      </c>
      <c r="N183" s="1">
        <v>632.95000000000005</v>
      </c>
      <c r="O183" s="1">
        <v>174.65999999999997</v>
      </c>
      <c r="P183" s="1">
        <v>1020</v>
      </c>
      <c r="Q183" s="1">
        <v>845.34</v>
      </c>
      <c r="R183" s="1">
        <v>1854.1666666666667</v>
      </c>
      <c r="S183" s="1">
        <v>2530</v>
      </c>
      <c r="T183" s="1">
        <v>675.83333333333326</v>
      </c>
      <c r="U183" s="1">
        <v>2316.6666666666665</v>
      </c>
      <c r="V183" s="1">
        <v>12140</v>
      </c>
      <c r="W183" s="1">
        <v>3715.113333333331</v>
      </c>
      <c r="X183" s="1">
        <v>1398.4466666666644</v>
      </c>
      <c r="AB183" s="2" t="str">
        <f t="shared" si="2"/>
        <v>PASS</v>
      </c>
      <c r="AV183" s="1"/>
      <c r="AW183" s="1"/>
      <c r="AX183" s="1"/>
    </row>
    <row r="184" spans="1:50">
      <c r="A184" s="1" t="s">
        <v>210</v>
      </c>
      <c r="B184" s="1" t="s">
        <v>24</v>
      </c>
      <c r="C184" s="2">
        <v>46258.44438335648</v>
      </c>
      <c r="D184" s="2">
        <v>45082.054588206018</v>
      </c>
      <c r="E184" s="2">
        <v>46258.38558185185</v>
      </c>
      <c r="F184" s="1" t="s">
        <v>600</v>
      </c>
      <c r="G184" s="1" t="s">
        <v>25</v>
      </c>
      <c r="H184" s="3">
        <v>45081</v>
      </c>
      <c r="I184" s="1">
        <v>4730.8749999999982</v>
      </c>
      <c r="J184" s="1">
        <v>5280</v>
      </c>
      <c r="K184" s="1">
        <v>549.12500000000182</v>
      </c>
      <c r="L184" s="1">
        <v>2083.7999999999997</v>
      </c>
      <c r="M184" s="1">
        <v>3430</v>
      </c>
      <c r="N184" s="1">
        <v>1346.2000000000005</v>
      </c>
      <c r="O184" s="1">
        <v>104.66000000000001</v>
      </c>
      <c r="P184" s="1">
        <v>650</v>
      </c>
      <c r="Q184" s="1">
        <v>545.33999999999992</v>
      </c>
      <c r="R184" s="1">
        <v>2107.5</v>
      </c>
      <c r="S184" s="1">
        <v>2710</v>
      </c>
      <c r="T184" s="1">
        <v>602.5</v>
      </c>
      <c r="U184" s="1">
        <v>2316.6666666666665</v>
      </c>
      <c r="V184" s="1">
        <v>12070</v>
      </c>
      <c r="W184" s="1">
        <v>3043.1650000000022</v>
      </c>
      <c r="X184" s="1">
        <v>726.49833333333572</v>
      </c>
      <c r="AB184" s="2" t="str">
        <f t="shared" si="2"/>
        <v>PASS</v>
      </c>
      <c r="AV184" s="1"/>
      <c r="AW184" s="1"/>
      <c r="AX184" s="1"/>
    </row>
    <row r="185" spans="1:50">
      <c r="A185" s="1" t="s">
        <v>211</v>
      </c>
      <c r="B185" s="1" t="s">
        <v>24</v>
      </c>
      <c r="C185" s="2">
        <v>46258.444384594906</v>
      </c>
      <c r="D185" s="2">
        <v>45083.030193877312</v>
      </c>
      <c r="E185" s="2">
        <v>46258.385581932867</v>
      </c>
      <c r="F185" s="1" t="s">
        <v>600</v>
      </c>
      <c r="G185" s="1" t="s">
        <v>25</v>
      </c>
      <c r="H185" s="3">
        <v>45082</v>
      </c>
      <c r="I185" s="1">
        <v>4062.8150000000001</v>
      </c>
      <c r="J185" s="1">
        <v>4280</v>
      </c>
      <c r="K185" s="1">
        <v>217.18499999999997</v>
      </c>
      <c r="L185" s="1">
        <v>1404.45</v>
      </c>
      <c r="M185" s="1">
        <v>2680</v>
      </c>
      <c r="N185" s="1">
        <v>1275.55</v>
      </c>
      <c r="O185" s="1">
        <v>25</v>
      </c>
      <c r="P185" s="1">
        <v>300</v>
      </c>
      <c r="Q185" s="1">
        <v>275</v>
      </c>
      <c r="R185" s="1">
        <v>1596.6666666666667</v>
      </c>
      <c r="S185" s="1">
        <v>2140</v>
      </c>
      <c r="T185" s="1">
        <v>543.33333333333326</v>
      </c>
      <c r="U185" s="1">
        <v>2316.6666666666665</v>
      </c>
      <c r="V185" s="1">
        <v>9400</v>
      </c>
      <c r="W185" s="1">
        <v>2311.0683333333332</v>
      </c>
      <c r="X185" s="1">
        <v>-5.5983333333333576</v>
      </c>
      <c r="AB185" s="2" t="str">
        <f t="shared" si="2"/>
        <v>PASS</v>
      </c>
      <c r="AV185" s="1"/>
      <c r="AW185" s="1"/>
      <c r="AX185" s="1"/>
    </row>
    <row r="186" spans="1:50">
      <c r="A186" s="1" t="s">
        <v>212</v>
      </c>
      <c r="B186" s="1" t="s">
        <v>24</v>
      </c>
      <c r="C186" s="2">
        <v>46258.444386134259</v>
      </c>
      <c r="D186" s="2">
        <v>45084.089151122687</v>
      </c>
      <c r="E186" s="2">
        <v>46258.385582037037</v>
      </c>
      <c r="F186" s="1" t="s">
        <v>600</v>
      </c>
      <c r="G186" s="1" t="s">
        <v>25</v>
      </c>
      <c r="H186" s="3">
        <v>45083</v>
      </c>
      <c r="I186" s="1">
        <v>6301.9000000000005</v>
      </c>
      <c r="J186" s="1">
        <v>4180</v>
      </c>
      <c r="K186" s="1">
        <v>-2121.9000000000005</v>
      </c>
      <c r="L186" s="1">
        <v>2172.3500000000004</v>
      </c>
      <c r="M186" s="1">
        <v>5400</v>
      </c>
      <c r="N186" s="1">
        <v>3227.6499999999996</v>
      </c>
      <c r="O186" s="1">
        <v>125</v>
      </c>
      <c r="P186" s="1">
        <v>1500</v>
      </c>
      <c r="Q186" s="1">
        <v>1375</v>
      </c>
      <c r="R186" s="1">
        <v>3455</v>
      </c>
      <c r="S186" s="1">
        <v>4520</v>
      </c>
      <c r="T186" s="1">
        <v>1065</v>
      </c>
      <c r="U186" s="1">
        <v>2316.6666666666665</v>
      </c>
      <c r="V186" s="1">
        <v>15600</v>
      </c>
      <c r="W186" s="1">
        <v>3545.7499999999991</v>
      </c>
      <c r="X186" s="1">
        <v>1229.0833333333326</v>
      </c>
      <c r="AB186" s="2" t="str">
        <f t="shared" si="2"/>
        <v>PASS</v>
      </c>
      <c r="AV186" s="1"/>
      <c r="AW186" s="1"/>
      <c r="AX186" s="1"/>
    </row>
    <row r="187" spans="1:50">
      <c r="A187" s="1" t="s">
        <v>213</v>
      </c>
      <c r="B187" s="1" t="s">
        <v>24</v>
      </c>
      <c r="C187" s="2">
        <v>46258.444387743053</v>
      </c>
      <c r="D187" s="2">
        <v>45085.127012881945</v>
      </c>
      <c r="E187" s="2">
        <v>46258.385582129631</v>
      </c>
      <c r="F187" s="1" t="s">
        <v>600</v>
      </c>
      <c r="G187" s="1" t="s">
        <v>25</v>
      </c>
      <c r="H187" s="3">
        <v>45084</v>
      </c>
      <c r="I187" s="1">
        <v>3733.2249999999985</v>
      </c>
      <c r="J187" s="1">
        <v>3910</v>
      </c>
      <c r="K187" s="1">
        <v>176.77500000000191</v>
      </c>
      <c r="L187" s="1">
        <v>1431.1999999999998</v>
      </c>
      <c r="M187" s="1">
        <v>2000</v>
      </c>
      <c r="N187" s="1">
        <v>568.80000000000018</v>
      </c>
      <c r="O187" s="1">
        <v>221</v>
      </c>
      <c r="P187" s="1">
        <v>2070</v>
      </c>
      <c r="Q187" s="1">
        <v>1849</v>
      </c>
      <c r="R187" s="1">
        <v>2037.5</v>
      </c>
      <c r="S187" s="1">
        <v>2710</v>
      </c>
      <c r="T187" s="1">
        <v>672.5</v>
      </c>
      <c r="U187" s="1">
        <v>2316.6666666666665</v>
      </c>
      <c r="V187" s="1">
        <v>10690</v>
      </c>
      <c r="W187" s="1">
        <v>3267.0750000000021</v>
      </c>
      <c r="X187" s="1">
        <v>950.40833333333558</v>
      </c>
      <c r="AB187" s="2" t="str">
        <f t="shared" si="2"/>
        <v>PASS</v>
      </c>
      <c r="AV187" s="1"/>
      <c r="AW187" s="1"/>
      <c r="AX187" s="1"/>
    </row>
    <row r="188" spans="1:50">
      <c r="A188" s="1" t="s">
        <v>214</v>
      </c>
      <c r="B188" s="1" t="s">
        <v>24</v>
      </c>
      <c r="C188" s="2">
        <v>46258.444389363423</v>
      </c>
      <c r="D188" s="2">
        <v>46257.268357615743</v>
      </c>
      <c r="E188" s="2">
        <v>46258.385582199073</v>
      </c>
      <c r="F188" s="1" t="s">
        <v>600</v>
      </c>
      <c r="G188" s="1" t="s">
        <v>25</v>
      </c>
      <c r="H188" s="3">
        <v>45088</v>
      </c>
      <c r="I188" s="1">
        <v>6067.6199999999981</v>
      </c>
      <c r="J188" s="1">
        <v>7290</v>
      </c>
      <c r="K188" s="1">
        <v>1222.3800000000019</v>
      </c>
      <c r="L188" s="1">
        <v>3267.4</v>
      </c>
      <c r="M188" s="1">
        <v>5250</v>
      </c>
      <c r="N188" s="1">
        <v>1982.6</v>
      </c>
      <c r="O188" s="1">
        <v>100</v>
      </c>
      <c r="P188" s="1">
        <v>1200</v>
      </c>
      <c r="Q188" s="1">
        <v>1100</v>
      </c>
      <c r="R188" s="1">
        <v>2706.666666666667</v>
      </c>
      <c r="S188" s="1">
        <v>3460</v>
      </c>
      <c r="T188" s="1">
        <v>753.33333333333292</v>
      </c>
      <c r="U188" s="1">
        <v>2316.6666666666665</v>
      </c>
      <c r="V188" s="1">
        <v>17200</v>
      </c>
      <c r="W188" s="1">
        <v>5058.3133333333344</v>
      </c>
      <c r="X188" s="1">
        <v>2741.6466666666679</v>
      </c>
      <c r="AB188" s="2" t="str">
        <f t="shared" si="2"/>
        <v>PASS</v>
      </c>
      <c r="AV188" s="1"/>
      <c r="AW188" s="1"/>
      <c r="AX188" s="1"/>
    </row>
    <row r="189" spans="1:50">
      <c r="A189" s="1" t="s">
        <v>215</v>
      </c>
      <c r="B189" s="1" t="s">
        <v>24</v>
      </c>
      <c r="C189" s="2">
        <v>46258.444390949073</v>
      </c>
      <c r="D189" s="2">
        <v>45090.056088622689</v>
      </c>
      <c r="E189" s="2">
        <v>46258.385582511575</v>
      </c>
      <c r="F189" s="1" t="s">
        <v>600</v>
      </c>
      <c r="G189" s="1" t="s">
        <v>25</v>
      </c>
      <c r="H189" s="3">
        <v>45089</v>
      </c>
      <c r="I189" s="1">
        <v>5114.4600000000009</v>
      </c>
      <c r="J189" s="1">
        <v>4860</v>
      </c>
      <c r="K189" s="1">
        <v>-254.46000000000095</v>
      </c>
      <c r="L189" s="1">
        <v>1375.0500000000002</v>
      </c>
      <c r="M189" s="1">
        <v>2000</v>
      </c>
      <c r="N189" s="1">
        <v>624.94999999999982</v>
      </c>
      <c r="O189" s="1">
        <v>25</v>
      </c>
      <c r="P189" s="1">
        <v>300</v>
      </c>
      <c r="Q189" s="1">
        <v>275</v>
      </c>
      <c r="R189" s="1">
        <v>2245</v>
      </c>
      <c r="S189" s="1">
        <v>2700</v>
      </c>
      <c r="T189" s="1">
        <v>455</v>
      </c>
      <c r="U189" s="1">
        <v>2316.6666666666665</v>
      </c>
      <c r="V189" s="1">
        <v>9860</v>
      </c>
      <c r="W189" s="1">
        <v>1100.4899999999989</v>
      </c>
      <c r="X189" s="1">
        <v>-1216.1766666666676</v>
      </c>
      <c r="AB189" s="2" t="str">
        <f t="shared" si="2"/>
        <v>PASS</v>
      </c>
      <c r="AV189" s="1"/>
      <c r="AW189" s="1"/>
      <c r="AX189" s="1"/>
    </row>
    <row r="190" spans="1:50">
      <c r="A190" s="1" t="s">
        <v>216</v>
      </c>
      <c r="B190" s="1" t="s">
        <v>24</v>
      </c>
      <c r="C190" s="2">
        <v>46258.444393182872</v>
      </c>
      <c r="D190" s="2">
        <v>45091.08176627315</v>
      </c>
      <c r="E190" s="2">
        <v>46258.385582581017</v>
      </c>
      <c r="F190" s="1" t="s">
        <v>600</v>
      </c>
      <c r="G190" s="1" t="s">
        <v>25</v>
      </c>
      <c r="H190" s="3">
        <v>45090</v>
      </c>
      <c r="I190" s="1">
        <v>4657.0449999999992</v>
      </c>
      <c r="J190" s="1">
        <v>5240</v>
      </c>
      <c r="K190" s="1">
        <v>582.95500000000084</v>
      </c>
      <c r="L190" s="1">
        <v>2325.85</v>
      </c>
      <c r="M190" s="1">
        <v>4300</v>
      </c>
      <c r="N190" s="1">
        <v>1974.15</v>
      </c>
      <c r="O190" s="1">
        <v>178.83</v>
      </c>
      <c r="P190" s="1">
        <v>1250</v>
      </c>
      <c r="Q190" s="1">
        <v>1071.17</v>
      </c>
      <c r="R190" s="1">
        <v>2645.833333333333</v>
      </c>
      <c r="S190" s="1">
        <v>3110</v>
      </c>
      <c r="T190" s="1">
        <v>464.16666666666697</v>
      </c>
      <c r="U190" s="1">
        <v>2316.6666666666665</v>
      </c>
      <c r="V190" s="1">
        <v>13900</v>
      </c>
      <c r="W190" s="1">
        <v>4092.441666666668</v>
      </c>
      <c r="X190" s="1">
        <v>1775.7750000000017</v>
      </c>
      <c r="AB190" s="2" t="str">
        <f t="shared" si="2"/>
        <v>PASS</v>
      </c>
      <c r="AV190" s="1"/>
      <c r="AW190" s="1"/>
      <c r="AX190" s="1"/>
    </row>
    <row r="191" spans="1:50">
      <c r="A191" s="1" t="s">
        <v>217</v>
      </c>
      <c r="B191" s="1" t="s">
        <v>24</v>
      </c>
      <c r="C191" s="2">
        <v>46258.444395185186</v>
      </c>
      <c r="D191" s="2">
        <v>45092.050840821757</v>
      </c>
      <c r="E191" s="2">
        <v>46258.385582650466</v>
      </c>
      <c r="F191" s="1" t="s">
        <v>600</v>
      </c>
      <c r="G191" s="1" t="s">
        <v>25</v>
      </c>
      <c r="H191" s="3">
        <v>45091</v>
      </c>
      <c r="I191" s="1">
        <v>4249.3550000000014</v>
      </c>
      <c r="J191" s="1">
        <v>5510</v>
      </c>
      <c r="K191" s="1">
        <v>1260.6449999999986</v>
      </c>
      <c r="L191" s="1">
        <v>1100.2999999999995</v>
      </c>
      <c r="M191" s="1">
        <v>1800</v>
      </c>
      <c r="N191" s="1">
        <v>699.70000000000027</v>
      </c>
      <c r="O191" s="1">
        <v>242.5</v>
      </c>
      <c r="P191" s="1">
        <v>1400</v>
      </c>
      <c r="Q191" s="1">
        <v>1157.5</v>
      </c>
      <c r="R191" s="1">
        <v>2880.8333333333335</v>
      </c>
      <c r="S191" s="1">
        <v>3790</v>
      </c>
      <c r="T191" s="1">
        <v>909.16666666666652</v>
      </c>
      <c r="U191" s="1">
        <v>2316.6666666666665</v>
      </c>
      <c r="V191" s="1">
        <v>12500</v>
      </c>
      <c r="W191" s="1">
        <v>4027.0116666666654</v>
      </c>
      <c r="X191" s="1">
        <v>1710.3449999999989</v>
      </c>
      <c r="AB191" s="2" t="str">
        <f t="shared" si="2"/>
        <v>PASS</v>
      </c>
      <c r="AV191" s="1"/>
      <c r="AW191" s="1"/>
      <c r="AX191" s="1"/>
    </row>
    <row r="192" spans="1:50">
      <c r="A192" s="1" t="s">
        <v>218</v>
      </c>
      <c r="B192" s="1" t="s">
        <v>24</v>
      </c>
      <c r="C192" s="2">
        <v>46258.444396886574</v>
      </c>
      <c r="D192" s="2">
        <v>45093.051142222219</v>
      </c>
      <c r="E192" s="2">
        <v>46258.385582905095</v>
      </c>
      <c r="F192" s="1" t="s">
        <v>600</v>
      </c>
      <c r="G192" s="1" t="s">
        <v>25</v>
      </c>
      <c r="H192" s="3">
        <v>45092</v>
      </c>
      <c r="I192" s="1">
        <v>5531.2849999999999</v>
      </c>
      <c r="J192" s="1">
        <v>6010</v>
      </c>
      <c r="K192" s="1">
        <v>478.71500000000015</v>
      </c>
      <c r="L192" s="1">
        <v>1245.5499999999995</v>
      </c>
      <c r="M192" s="1">
        <v>1200</v>
      </c>
      <c r="N192" s="1">
        <v>-45.549999999999727</v>
      </c>
      <c r="O192" s="1">
        <v>105</v>
      </c>
      <c r="P192" s="1">
        <v>900</v>
      </c>
      <c r="Q192" s="1">
        <v>795</v>
      </c>
      <c r="R192" s="1">
        <v>1988.3333333333333</v>
      </c>
      <c r="S192" s="1">
        <v>2720</v>
      </c>
      <c r="T192" s="1">
        <v>731.66666666666674</v>
      </c>
      <c r="U192" s="1">
        <v>2316.6666666666665</v>
      </c>
      <c r="V192" s="1">
        <v>10830</v>
      </c>
      <c r="W192" s="1">
        <v>1959.8316666666672</v>
      </c>
      <c r="X192" s="1">
        <v>-356.83499999999935</v>
      </c>
      <c r="AB192" s="2" t="str">
        <f t="shared" si="2"/>
        <v>PASS</v>
      </c>
      <c r="AV192" s="1"/>
      <c r="AW192" s="1"/>
      <c r="AX192" s="1"/>
    </row>
    <row r="193" spans="1:50">
      <c r="A193" s="1" t="s">
        <v>219</v>
      </c>
      <c r="B193" s="1" t="s">
        <v>24</v>
      </c>
      <c r="C193" s="2">
        <v>46258.444398865744</v>
      </c>
      <c r="D193" s="2">
        <v>45094.000629907408</v>
      </c>
      <c r="E193" s="2">
        <v>46258.385582997682</v>
      </c>
      <c r="F193" s="1" t="s">
        <v>600</v>
      </c>
      <c r="G193" s="1" t="s">
        <v>25</v>
      </c>
      <c r="H193" s="3">
        <v>45093</v>
      </c>
      <c r="I193" s="1">
        <v>4756.7749999999987</v>
      </c>
      <c r="J193" s="1">
        <v>6010</v>
      </c>
      <c r="K193" s="1">
        <v>1253.2250000000013</v>
      </c>
      <c r="L193" s="1">
        <v>1174.8499999999999</v>
      </c>
      <c r="M193" s="1">
        <v>1800</v>
      </c>
      <c r="N193" s="1">
        <v>625.15000000000009</v>
      </c>
      <c r="O193" s="1">
        <v>105</v>
      </c>
      <c r="P193" s="1">
        <v>900</v>
      </c>
      <c r="Q193" s="1">
        <v>795</v>
      </c>
      <c r="R193" s="1">
        <v>2320</v>
      </c>
      <c r="S193" s="1">
        <v>3180</v>
      </c>
      <c r="T193" s="1">
        <v>860</v>
      </c>
      <c r="U193" s="1">
        <v>2316.6666666666665</v>
      </c>
      <c r="V193" s="1">
        <v>11890</v>
      </c>
      <c r="W193" s="1">
        <v>3533.3750000000018</v>
      </c>
      <c r="X193" s="1">
        <v>1216.7083333333348</v>
      </c>
      <c r="AB193" s="2" t="str">
        <f t="shared" si="2"/>
        <v>PASS</v>
      </c>
      <c r="AV193" s="1"/>
      <c r="AW193" s="1"/>
      <c r="AX193" s="1"/>
    </row>
    <row r="194" spans="1:50">
      <c r="A194" s="1" t="s">
        <v>220</v>
      </c>
      <c r="B194" s="1" t="s">
        <v>24</v>
      </c>
      <c r="C194" s="2">
        <v>46258.44440064815</v>
      </c>
      <c r="D194" s="2">
        <v>45094.036284675924</v>
      </c>
      <c r="E194" s="2">
        <v>46258.385583090276</v>
      </c>
      <c r="F194" s="1" t="s">
        <v>600</v>
      </c>
      <c r="G194" s="1" t="s">
        <v>25</v>
      </c>
      <c r="H194" s="3">
        <v>45094</v>
      </c>
      <c r="I194" s="1">
        <v>4756.7749999999987</v>
      </c>
      <c r="J194" s="1">
        <v>5780</v>
      </c>
      <c r="K194" s="1">
        <v>1023.2250000000012</v>
      </c>
      <c r="L194" s="1">
        <v>1174.8499999999999</v>
      </c>
      <c r="M194" s="1">
        <v>1800</v>
      </c>
      <c r="N194" s="1">
        <v>625.15000000000009</v>
      </c>
      <c r="O194" s="1">
        <v>105</v>
      </c>
      <c r="P194" s="1">
        <v>900</v>
      </c>
      <c r="Q194" s="1">
        <v>795</v>
      </c>
      <c r="R194" s="1">
        <v>2320</v>
      </c>
      <c r="S194" s="1">
        <v>3180</v>
      </c>
      <c r="T194" s="1">
        <v>860</v>
      </c>
      <c r="U194" s="1">
        <v>2316.6666666666665</v>
      </c>
      <c r="V194" s="1">
        <v>11660</v>
      </c>
      <c r="W194" s="1">
        <v>3303.3750000000018</v>
      </c>
      <c r="X194" s="1">
        <v>986.70833333333485</v>
      </c>
      <c r="AB194" s="2" t="str">
        <f t="shared" si="2"/>
        <v>PASS</v>
      </c>
      <c r="AV194" s="1"/>
      <c r="AW194" s="1"/>
      <c r="AX194" s="1"/>
    </row>
    <row r="195" spans="1:50">
      <c r="A195" s="1" t="s">
        <v>221</v>
      </c>
      <c r="B195" s="1" t="s">
        <v>24</v>
      </c>
      <c r="C195" s="2">
        <v>46258.444402754627</v>
      </c>
      <c r="D195" s="2">
        <v>45095.148412465278</v>
      </c>
      <c r="E195" s="2">
        <v>46258.385583171294</v>
      </c>
      <c r="F195" s="1" t="s">
        <v>600</v>
      </c>
      <c r="G195" s="1" t="s">
        <v>25</v>
      </c>
      <c r="H195" s="3">
        <v>45095</v>
      </c>
      <c r="I195" s="1">
        <v>4799.6900000000005</v>
      </c>
      <c r="J195" s="1">
        <v>5220</v>
      </c>
      <c r="K195" s="1">
        <v>420.30999999999955</v>
      </c>
      <c r="L195" s="1">
        <v>2230.9</v>
      </c>
      <c r="M195" s="1">
        <v>3600</v>
      </c>
      <c r="N195" s="1">
        <v>1369.1</v>
      </c>
      <c r="O195" s="1">
        <v>198</v>
      </c>
      <c r="P195" s="1">
        <v>1850</v>
      </c>
      <c r="Q195" s="1">
        <v>1652</v>
      </c>
      <c r="R195" s="1">
        <v>2649.1666666666665</v>
      </c>
      <c r="S195" s="1">
        <v>3180</v>
      </c>
      <c r="T195" s="1">
        <v>530.83333333333348</v>
      </c>
      <c r="U195" s="1">
        <v>2316.6666666666665</v>
      </c>
      <c r="V195" s="1">
        <v>13850</v>
      </c>
      <c r="W195" s="1">
        <v>3972.2433333333329</v>
      </c>
      <c r="X195" s="1">
        <v>1655.5766666666664</v>
      </c>
      <c r="AB195" s="2" t="str">
        <f t="shared" ref="AB195:AB258" si="3">IF(ABS(N195-(M195-L195))&lt;0.01,"PASS","CHECK")</f>
        <v>PASS</v>
      </c>
      <c r="AV195" s="1"/>
      <c r="AW195" s="1"/>
      <c r="AX195" s="1"/>
    </row>
    <row r="196" spans="1:50">
      <c r="A196" s="1" t="s">
        <v>222</v>
      </c>
      <c r="B196" s="1" t="s">
        <v>24</v>
      </c>
      <c r="C196" s="2">
        <v>46258.444404502312</v>
      </c>
      <c r="D196" s="2">
        <v>45097.572028356481</v>
      </c>
      <c r="E196" s="2">
        <v>46258.385583252311</v>
      </c>
      <c r="F196" s="1" t="s">
        <v>600</v>
      </c>
      <c r="G196" s="1" t="s">
        <v>25</v>
      </c>
      <c r="H196" s="3">
        <v>45096</v>
      </c>
      <c r="I196" s="1">
        <v>4053.7600000000007</v>
      </c>
      <c r="J196" s="1">
        <v>4825</v>
      </c>
      <c r="K196" s="1">
        <v>771.23999999999933</v>
      </c>
      <c r="L196" s="1">
        <v>730.19999999999982</v>
      </c>
      <c r="M196" s="1">
        <v>1200</v>
      </c>
      <c r="N196" s="1">
        <v>469.80000000000018</v>
      </c>
      <c r="O196" s="1">
        <v>172.5</v>
      </c>
      <c r="P196" s="1">
        <v>250</v>
      </c>
      <c r="Q196" s="1">
        <v>77.5</v>
      </c>
      <c r="R196" s="1">
        <v>2295.833333333333</v>
      </c>
      <c r="S196" s="1">
        <v>3100</v>
      </c>
      <c r="T196" s="1">
        <v>804.16666666666708</v>
      </c>
      <c r="U196" s="1">
        <v>2316.6666666666665</v>
      </c>
      <c r="V196" s="1">
        <v>9375</v>
      </c>
      <c r="W196" s="1">
        <v>2122.7066666666665</v>
      </c>
      <c r="X196" s="1">
        <v>-193.96000000000004</v>
      </c>
      <c r="AB196" s="2" t="str">
        <f t="shared" si="3"/>
        <v>PASS</v>
      </c>
      <c r="AV196" s="1"/>
      <c r="AW196" s="1"/>
      <c r="AX196" s="1"/>
    </row>
    <row r="197" spans="1:50">
      <c r="A197" s="1" t="s">
        <v>223</v>
      </c>
      <c r="B197" s="1" t="s">
        <v>24</v>
      </c>
      <c r="C197" s="2">
        <v>46258.444406261573</v>
      </c>
      <c r="D197" s="2">
        <v>46256.366520451389</v>
      </c>
      <c r="E197" s="2">
        <v>46258.38558332176</v>
      </c>
      <c r="F197" s="1" t="s">
        <v>600</v>
      </c>
      <c r="G197" s="1" t="s">
        <v>25</v>
      </c>
      <c r="H197" s="3">
        <v>45097</v>
      </c>
      <c r="I197" s="1">
        <v>6165.8000000000011</v>
      </c>
      <c r="J197" s="1">
        <v>4050</v>
      </c>
      <c r="K197" s="1">
        <v>-2115.8000000000011</v>
      </c>
      <c r="L197" s="1">
        <v>1901.5999999999997</v>
      </c>
      <c r="M197" s="1">
        <v>3600</v>
      </c>
      <c r="N197" s="1">
        <v>1698.4000000000003</v>
      </c>
      <c r="O197" s="1">
        <v>0</v>
      </c>
      <c r="P197" s="1">
        <v>0</v>
      </c>
      <c r="Q197" s="1">
        <v>0</v>
      </c>
      <c r="R197" s="1">
        <v>2675</v>
      </c>
      <c r="S197" s="1">
        <v>3590</v>
      </c>
      <c r="T197" s="1">
        <v>915</v>
      </c>
      <c r="U197" s="1">
        <v>2316.6666666666665</v>
      </c>
      <c r="V197" s="1">
        <v>11240</v>
      </c>
      <c r="W197" s="1">
        <v>497.59999999999923</v>
      </c>
      <c r="X197" s="1">
        <v>-1819.0666666666673</v>
      </c>
      <c r="AB197" s="2" t="str">
        <f t="shared" si="3"/>
        <v>PASS</v>
      </c>
      <c r="AV197" s="1"/>
      <c r="AW197" s="1"/>
      <c r="AX197" s="1"/>
    </row>
    <row r="198" spans="1:50">
      <c r="A198" s="1" t="s">
        <v>224</v>
      </c>
      <c r="B198" s="1" t="s">
        <v>24</v>
      </c>
      <c r="C198" s="2">
        <v>46258.444408402778</v>
      </c>
      <c r="D198" s="2">
        <v>46256.366614791667</v>
      </c>
      <c r="E198" s="2">
        <v>46258.385583541669</v>
      </c>
      <c r="F198" s="1" t="s">
        <v>600</v>
      </c>
      <c r="G198" s="1" t="s">
        <v>25</v>
      </c>
      <c r="H198" s="3">
        <v>45098</v>
      </c>
      <c r="I198" s="1">
        <v>3148.9250000000011</v>
      </c>
      <c r="J198" s="1">
        <v>4780</v>
      </c>
      <c r="K198" s="1">
        <v>1631.0749999999989</v>
      </c>
      <c r="L198" s="1">
        <v>1622.5</v>
      </c>
      <c r="M198" s="1">
        <v>3000</v>
      </c>
      <c r="N198" s="1">
        <v>1377.5</v>
      </c>
      <c r="O198" s="1">
        <v>0</v>
      </c>
      <c r="P198" s="1">
        <v>0</v>
      </c>
      <c r="Q198" s="1">
        <v>0</v>
      </c>
      <c r="R198" s="1">
        <v>2855</v>
      </c>
      <c r="S198" s="1">
        <v>4000</v>
      </c>
      <c r="T198" s="1">
        <v>1145</v>
      </c>
      <c r="U198" s="1">
        <v>2316.6666666666665</v>
      </c>
      <c r="V198" s="1">
        <v>11780</v>
      </c>
      <c r="W198" s="1">
        <v>4153.5749999999989</v>
      </c>
      <c r="X198" s="1">
        <v>1836.9083333333324</v>
      </c>
      <c r="AB198" s="2" t="str">
        <f t="shared" si="3"/>
        <v>PASS</v>
      </c>
      <c r="AV198" s="1"/>
      <c r="AW198" s="1"/>
      <c r="AX198" s="1"/>
    </row>
    <row r="199" spans="1:50">
      <c r="A199" s="1" t="s">
        <v>225</v>
      </c>
      <c r="B199" s="1" t="s">
        <v>24</v>
      </c>
      <c r="C199" s="2">
        <v>46258.444410127318</v>
      </c>
      <c r="D199" s="2">
        <v>46256.366699189814</v>
      </c>
      <c r="E199" s="2">
        <v>46258.385583738425</v>
      </c>
      <c r="F199" s="1" t="s">
        <v>600</v>
      </c>
      <c r="G199" s="1" t="s">
        <v>25</v>
      </c>
      <c r="H199" s="3">
        <v>45099</v>
      </c>
      <c r="I199" s="1">
        <v>4194.6550000000016</v>
      </c>
      <c r="J199" s="1">
        <v>3560</v>
      </c>
      <c r="K199" s="1">
        <v>-634.65500000000156</v>
      </c>
      <c r="L199" s="1">
        <v>1052.7</v>
      </c>
      <c r="M199" s="1">
        <v>4500</v>
      </c>
      <c r="N199" s="1">
        <v>3447.3</v>
      </c>
      <c r="O199" s="1">
        <v>0</v>
      </c>
      <c r="P199" s="1">
        <v>0</v>
      </c>
      <c r="Q199" s="1">
        <v>0</v>
      </c>
      <c r="R199" s="1">
        <v>2716.666666666667</v>
      </c>
      <c r="S199" s="1">
        <v>3740</v>
      </c>
      <c r="T199" s="1">
        <v>1023.333333333333</v>
      </c>
      <c r="U199" s="1">
        <v>2316.6666666666665</v>
      </c>
      <c r="V199" s="1">
        <v>11800</v>
      </c>
      <c r="W199" s="1">
        <v>3835.9783333333312</v>
      </c>
      <c r="X199" s="1">
        <v>1519.3116666666651</v>
      </c>
      <c r="AB199" s="2" t="str">
        <f t="shared" si="3"/>
        <v>PASS</v>
      </c>
      <c r="AV199" s="1"/>
      <c r="AW199" s="1"/>
      <c r="AX199" s="1"/>
    </row>
    <row r="200" spans="1:50">
      <c r="A200" s="1" t="s">
        <v>226</v>
      </c>
      <c r="B200" s="1" t="s">
        <v>24</v>
      </c>
      <c r="C200" s="2">
        <v>46258.44441207176</v>
      </c>
      <c r="D200" s="2">
        <v>45101.095645416666</v>
      </c>
      <c r="E200" s="2">
        <v>46258.385583854164</v>
      </c>
      <c r="F200" s="1" t="s">
        <v>600</v>
      </c>
      <c r="G200" s="1" t="s">
        <v>25</v>
      </c>
      <c r="H200" s="3">
        <v>45100</v>
      </c>
      <c r="I200" s="1">
        <v>5192.49</v>
      </c>
      <c r="J200" s="1">
        <v>8750</v>
      </c>
      <c r="K200" s="1">
        <v>3557.51</v>
      </c>
      <c r="L200" s="1">
        <v>2911.3</v>
      </c>
      <c r="M200" s="1">
        <v>3900</v>
      </c>
      <c r="N200" s="1">
        <v>988.69999999999982</v>
      </c>
      <c r="O200" s="1">
        <v>0</v>
      </c>
      <c r="P200" s="1">
        <v>600</v>
      </c>
      <c r="Q200" s="1">
        <v>600</v>
      </c>
      <c r="R200" s="1">
        <v>2739.1666666666665</v>
      </c>
      <c r="S200" s="1">
        <v>3830</v>
      </c>
      <c r="T200" s="1">
        <v>1090.8333333333337</v>
      </c>
      <c r="U200" s="1">
        <v>2316.6666666666665</v>
      </c>
      <c r="V200" s="1">
        <v>17080</v>
      </c>
      <c r="W200" s="1">
        <v>6237.0433333333331</v>
      </c>
      <c r="X200" s="1">
        <v>3920.3766666666666</v>
      </c>
      <c r="AB200" s="2" t="str">
        <f t="shared" si="3"/>
        <v>PASS</v>
      </c>
      <c r="AV200" s="1"/>
      <c r="AW200" s="1"/>
      <c r="AX200" s="1"/>
    </row>
    <row r="201" spans="1:50">
      <c r="A201" s="1" t="s">
        <v>227</v>
      </c>
      <c r="B201" s="1" t="s">
        <v>24</v>
      </c>
      <c r="C201" s="2">
        <v>46258.444413958336</v>
      </c>
      <c r="D201" s="2">
        <v>45102.211451064817</v>
      </c>
      <c r="E201" s="2">
        <v>46258.385584120369</v>
      </c>
      <c r="F201" s="1" t="s">
        <v>600</v>
      </c>
      <c r="G201" s="1" t="s">
        <v>25</v>
      </c>
      <c r="H201" s="3">
        <v>45101</v>
      </c>
      <c r="I201" s="1">
        <v>6392.0450000000019</v>
      </c>
      <c r="J201" s="1">
        <v>6580</v>
      </c>
      <c r="K201" s="1">
        <v>187.95499999999811</v>
      </c>
      <c r="L201" s="1">
        <v>2442.4</v>
      </c>
      <c r="M201" s="1">
        <v>4500</v>
      </c>
      <c r="N201" s="1">
        <v>2057.6</v>
      </c>
      <c r="O201" s="1">
        <v>312.5</v>
      </c>
      <c r="P201" s="1">
        <v>1550</v>
      </c>
      <c r="Q201" s="1">
        <v>1237.5</v>
      </c>
      <c r="R201" s="1">
        <v>3041.6666666666665</v>
      </c>
      <c r="S201" s="1">
        <v>4090</v>
      </c>
      <c r="T201" s="1">
        <v>1048.3333333333337</v>
      </c>
      <c r="U201" s="1">
        <v>2316.6666666666665</v>
      </c>
      <c r="V201" s="1">
        <v>16720</v>
      </c>
      <c r="W201" s="1">
        <v>4531.3883333333315</v>
      </c>
      <c r="X201" s="1">
        <v>2214.721666666665</v>
      </c>
      <c r="AB201" s="2" t="str">
        <f t="shared" si="3"/>
        <v>PASS</v>
      </c>
      <c r="AV201" s="1"/>
      <c r="AW201" s="1"/>
      <c r="AX201" s="1"/>
    </row>
    <row r="202" spans="1:50">
      <c r="A202" s="1" t="s">
        <v>228</v>
      </c>
      <c r="B202" s="1" t="s">
        <v>24</v>
      </c>
      <c r="C202" s="2">
        <v>46258.444417407409</v>
      </c>
      <c r="D202" s="2">
        <v>45103.709371574078</v>
      </c>
      <c r="E202" s="2">
        <v>46258.385584201387</v>
      </c>
      <c r="F202" s="1" t="s">
        <v>600</v>
      </c>
      <c r="G202" s="1" t="s">
        <v>25</v>
      </c>
      <c r="H202" s="3">
        <v>45102</v>
      </c>
      <c r="I202" s="1">
        <v>5559.704999999999</v>
      </c>
      <c r="J202" s="1">
        <v>7690</v>
      </c>
      <c r="K202" s="1">
        <v>2130.295000000001</v>
      </c>
      <c r="L202" s="1">
        <v>3864.1750000000006</v>
      </c>
      <c r="M202" s="1">
        <v>4800</v>
      </c>
      <c r="N202" s="1">
        <v>935.82499999999891</v>
      </c>
      <c r="O202" s="1">
        <v>955.43000000000006</v>
      </c>
      <c r="P202" s="1">
        <v>3550</v>
      </c>
      <c r="Q202" s="1">
        <v>2594.5699999999997</v>
      </c>
      <c r="R202" s="1">
        <v>3759.166666666667</v>
      </c>
      <c r="S202" s="1">
        <v>4880</v>
      </c>
      <c r="T202" s="1">
        <v>1120.833333333333</v>
      </c>
      <c r="U202" s="1">
        <v>2316.6666666666665</v>
      </c>
      <c r="V202" s="1">
        <v>20920</v>
      </c>
      <c r="W202" s="1">
        <v>6781.5233333333326</v>
      </c>
      <c r="X202" s="1">
        <v>4464.8566666666666</v>
      </c>
      <c r="AB202" s="2" t="str">
        <f t="shared" si="3"/>
        <v>PASS</v>
      </c>
      <c r="AV202" s="1"/>
      <c r="AW202" s="1"/>
      <c r="AX202" s="1"/>
    </row>
    <row r="203" spans="1:50">
      <c r="A203" s="1" t="s">
        <v>229</v>
      </c>
      <c r="B203" s="1" t="s">
        <v>24</v>
      </c>
      <c r="C203" s="2">
        <v>46258.444419409723</v>
      </c>
      <c r="D203" s="2">
        <v>45104.086577037036</v>
      </c>
      <c r="E203" s="2">
        <v>46258.385584282405</v>
      </c>
      <c r="F203" s="1" t="s">
        <v>600</v>
      </c>
      <c r="G203" s="1" t="s">
        <v>25</v>
      </c>
      <c r="H203" s="3">
        <v>45103</v>
      </c>
      <c r="I203" s="1">
        <v>6336.9549999999999</v>
      </c>
      <c r="J203" s="1">
        <v>5730</v>
      </c>
      <c r="K203" s="1">
        <v>-606.95499999999993</v>
      </c>
      <c r="L203" s="1">
        <v>2152.4250000000002</v>
      </c>
      <c r="M203" s="1">
        <v>2700</v>
      </c>
      <c r="N203" s="1">
        <v>547.57499999999982</v>
      </c>
      <c r="O203" s="1">
        <v>684.18000000000006</v>
      </c>
      <c r="P203" s="1">
        <v>2150</v>
      </c>
      <c r="Q203" s="1">
        <v>1465.82</v>
      </c>
      <c r="R203" s="1">
        <v>2539.166666666667</v>
      </c>
      <c r="S203" s="1">
        <v>3190</v>
      </c>
      <c r="T203" s="1">
        <v>650.83333333333303</v>
      </c>
      <c r="U203" s="1">
        <v>2316.6666666666665</v>
      </c>
      <c r="V203" s="1">
        <v>13770</v>
      </c>
      <c r="W203" s="1">
        <v>2057.2733333333326</v>
      </c>
      <c r="X203" s="1">
        <v>-259.39333333333389</v>
      </c>
      <c r="AB203" s="2" t="str">
        <f t="shared" si="3"/>
        <v>PASS</v>
      </c>
      <c r="AV203" s="1"/>
      <c r="AW203" s="1"/>
      <c r="AX203" s="1"/>
    </row>
    <row r="204" spans="1:50">
      <c r="A204" s="1" t="s">
        <v>230</v>
      </c>
      <c r="B204" s="1" t="s">
        <v>24</v>
      </c>
      <c r="C204" s="2">
        <v>46258.444421307868</v>
      </c>
      <c r="D204" s="2">
        <v>45105.057657349535</v>
      </c>
      <c r="E204" s="2">
        <v>46258.385584351854</v>
      </c>
      <c r="F204" s="1" t="s">
        <v>600</v>
      </c>
      <c r="G204" s="1" t="s">
        <v>25</v>
      </c>
      <c r="H204" s="3">
        <v>45104</v>
      </c>
      <c r="I204" s="1">
        <v>4842.0449999999992</v>
      </c>
      <c r="J204" s="1">
        <v>5730</v>
      </c>
      <c r="K204" s="1">
        <v>887.95500000000084</v>
      </c>
      <c r="L204" s="1">
        <v>1159.1500000000001</v>
      </c>
      <c r="M204" s="1">
        <v>1800</v>
      </c>
      <c r="N204" s="1">
        <v>640.85000000000014</v>
      </c>
      <c r="O204" s="1">
        <v>370.93</v>
      </c>
      <c r="P204" s="1">
        <v>1100</v>
      </c>
      <c r="Q204" s="1">
        <v>729.06999999999994</v>
      </c>
      <c r="R204" s="1">
        <v>2797.5</v>
      </c>
      <c r="S204" s="1">
        <v>3730</v>
      </c>
      <c r="T204" s="1">
        <v>932.5</v>
      </c>
      <c r="U204" s="1">
        <v>2316.6666666666665</v>
      </c>
      <c r="V204" s="1">
        <v>12360</v>
      </c>
      <c r="W204" s="1">
        <v>3190.3750000000009</v>
      </c>
      <c r="X204" s="1">
        <v>873.70833333333439</v>
      </c>
      <c r="AB204" s="2" t="str">
        <f t="shared" si="3"/>
        <v>PASS</v>
      </c>
      <c r="AV204" s="1"/>
      <c r="AW204" s="1"/>
      <c r="AX204" s="1"/>
    </row>
    <row r="205" spans="1:50">
      <c r="A205" s="1" t="s">
        <v>231</v>
      </c>
      <c r="B205" s="1" t="s">
        <v>24</v>
      </c>
      <c r="C205" s="2">
        <v>46258.444423738423</v>
      </c>
      <c r="D205" s="2">
        <v>45106.138620787038</v>
      </c>
      <c r="E205" s="2">
        <v>46258.385584421296</v>
      </c>
      <c r="F205" s="1" t="s">
        <v>600</v>
      </c>
      <c r="G205" s="1" t="s">
        <v>25</v>
      </c>
      <c r="H205" s="3">
        <v>45105</v>
      </c>
      <c r="I205" s="1">
        <v>6907.8049999999994</v>
      </c>
      <c r="J205" s="1">
        <v>9600</v>
      </c>
      <c r="K205" s="1">
        <v>2692.1950000000006</v>
      </c>
      <c r="L205" s="1">
        <v>3285.85</v>
      </c>
      <c r="M205" s="1">
        <v>4800</v>
      </c>
      <c r="N205" s="1">
        <v>1514.15</v>
      </c>
      <c r="O205" s="1">
        <v>331.56000000000006</v>
      </c>
      <c r="P205" s="1">
        <v>1350</v>
      </c>
      <c r="Q205" s="1">
        <v>1018.4399999999999</v>
      </c>
      <c r="R205" s="1">
        <v>3390.833333333333</v>
      </c>
      <c r="S205" s="1">
        <v>3950</v>
      </c>
      <c r="T205" s="1">
        <v>559.16666666666697</v>
      </c>
      <c r="U205" s="1">
        <v>2316.6666666666665</v>
      </c>
      <c r="V205" s="1">
        <v>19700</v>
      </c>
      <c r="W205" s="1">
        <v>5783.9516666666677</v>
      </c>
      <c r="X205" s="1">
        <v>3467.2850000000012</v>
      </c>
      <c r="AB205" s="2" t="str">
        <f t="shared" si="3"/>
        <v>PASS</v>
      </c>
      <c r="AV205" s="1"/>
      <c r="AW205" s="1"/>
      <c r="AX205" s="1"/>
    </row>
    <row r="206" spans="1:50">
      <c r="A206" s="1" t="s">
        <v>232</v>
      </c>
      <c r="B206" s="1" t="s">
        <v>24</v>
      </c>
      <c r="C206" s="2">
        <v>46258.444425451387</v>
      </c>
      <c r="D206" s="2">
        <v>45107.640691319444</v>
      </c>
      <c r="E206" s="2">
        <v>46258.385584490738</v>
      </c>
      <c r="F206" s="1" t="s">
        <v>600</v>
      </c>
      <c r="G206" s="1" t="s">
        <v>25</v>
      </c>
      <c r="H206" s="3">
        <v>45106</v>
      </c>
      <c r="I206" s="1">
        <v>5663.55</v>
      </c>
      <c r="J206" s="1">
        <v>8840</v>
      </c>
      <c r="K206" s="1">
        <v>3176.45</v>
      </c>
      <c r="L206" s="1">
        <v>2058.7999999999997</v>
      </c>
      <c r="M206" s="1">
        <v>3600</v>
      </c>
      <c r="N206" s="1">
        <v>1541.2000000000005</v>
      </c>
      <c r="O206" s="1">
        <v>194.06000000000003</v>
      </c>
      <c r="P206" s="1">
        <v>1350</v>
      </c>
      <c r="Q206" s="1">
        <v>1155.94</v>
      </c>
      <c r="R206" s="1">
        <v>5109.166666666667</v>
      </c>
      <c r="S206" s="1">
        <v>6680</v>
      </c>
      <c r="T206" s="1">
        <v>1570.833333333333</v>
      </c>
      <c r="U206" s="1">
        <v>2316.6666666666665</v>
      </c>
      <c r="V206" s="1">
        <v>20470</v>
      </c>
      <c r="W206" s="1">
        <v>7444.4233333333332</v>
      </c>
      <c r="X206" s="1">
        <v>5127.7566666666662</v>
      </c>
      <c r="AB206" s="2" t="str">
        <f t="shared" si="3"/>
        <v>PASS</v>
      </c>
      <c r="AV206" s="1"/>
      <c r="AW206" s="1"/>
      <c r="AX206" s="1"/>
    </row>
    <row r="207" spans="1:50">
      <c r="A207" s="1" t="s">
        <v>233</v>
      </c>
      <c r="B207" s="1" t="s">
        <v>24</v>
      </c>
      <c r="C207" s="2">
        <v>46258.44442821759</v>
      </c>
      <c r="D207" s="2">
        <v>45108.591056666664</v>
      </c>
      <c r="E207" s="2">
        <v>46258.385584606483</v>
      </c>
      <c r="F207" s="1" t="s">
        <v>600</v>
      </c>
      <c r="G207" s="1" t="s">
        <v>25</v>
      </c>
      <c r="H207" s="3">
        <v>45107</v>
      </c>
      <c r="I207" s="1">
        <v>7356.9800000000014</v>
      </c>
      <c r="J207" s="1">
        <v>9160</v>
      </c>
      <c r="K207" s="1">
        <v>1803.0199999999984</v>
      </c>
      <c r="L207" s="1">
        <v>2370.9</v>
      </c>
      <c r="M207" s="1">
        <v>4200</v>
      </c>
      <c r="N207" s="1">
        <v>1829.1</v>
      </c>
      <c r="O207" s="1">
        <v>149.61000000000001</v>
      </c>
      <c r="P207" s="1">
        <v>600</v>
      </c>
      <c r="Q207" s="1">
        <v>450.39</v>
      </c>
      <c r="R207" s="1">
        <v>3076.6666666666665</v>
      </c>
      <c r="S207" s="1">
        <v>4050</v>
      </c>
      <c r="T207" s="1">
        <v>973.33333333333348</v>
      </c>
      <c r="U207" s="1">
        <v>2316.6666666666665</v>
      </c>
      <c r="V207" s="1">
        <v>18010</v>
      </c>
      <c r="W207" s="1">
        <v>5055.8433333333323</v>
      </c>
      <c r="X207" s="1">
        <v>2739.1766666666658</v>
      </c>
      <c r="AB207" s="2" t="str">
        <f t="shared" si="3"/>
        <v>PASS</v>
      </c>
      <c r="AV207" s="1"/>
      <c r="AW207" s="1"/>
      <c r="AX207" s="1"/>
    </row>
    <row r="208" spans="1:50">
      <c r="A208" s="1" t="s">
        <v>234</v>
      </c>
      <c r="B208" s="1" t="s">
        <v>24</v>
      </c>
      <c r="C208" s="2">
        <v>46258.444387314812</v>
      </c>
      <c r="D208" s="2">
        <v>45109.112531550927</v>
      </c>
      <c r="E208" s="2">
        <v>46258.385578078705</v>
      </c>
      <c r="F208" s="1" t="s">
        <v>601</v>
      </c>
      <c r="G208" s="1" t="s">
        <v>25</v>
      </c>
      <c r="H208" s="3">
        <v>45108</v>
      </c>
      <c r="I208" s="1">
        <v>5769.2249999999976</v>
      </c>
      <c r="J208" s="1">
        <v>8940</v>
      </c>
      <c r="K208" s="1">
        <v>3170.7750000000024</v>
      </c>
      <c r="L208" s="1">
        <v>2196.1</v>
      </c>
      <c r="M208" s="1">
        <v>3600</v>
      </c>
      <c r="N208" s="1">
        <v>1403.9</v>
      </c>
      <c r="O208" s="1">
        <v>93</v>
      </c>
      <c r="P208" s="1">
        <v>1800</v>
      </c>
      <c r="Q208" s="1">
        <v>1707</v>
      </c>
      <c r="R208" s="1">
        <v>4711.6666666666661</v>
      </c>
      <c r="S208" s="1">
        <v>6170</v>
      </c>
      <c r="T208" s="1">
        <v>1458.3333333333339</v>
      </c>
      <c r="U208" s="1">
        <v>2316.6666666666665</v>
      </c>
      <c r="V208" s="1">
        <v>20510</v>
      </c>
      <c r="W208" s="1">
        <v>7740.0083333333378</v>
      </c>
      <c r="X208" s="1">
        <v>5423.3416666666708</v>
      </c>
      <c r="AB208" s="2" t="str">
        <f t="shared" si="3"/>
        <v>PASS</v>
      </c>
      <c r="AV208" s="1"/>
      <c r="AW208" s="1"/>
      <c r="AX208" s="1"/>
    </row>
    <row r="209" spans="1:50">
      <c r="A209" s="1" t="s">
        <v>235</v>
      </c>
      <c r="B209" s="1" t="s">
        <v>24</v>
      </c>
      <c r="C209" s="2">
        <v>46258.444388969911</v>
      </c>
      <c r="D209" s="2">
        <v>46256.36719513889</v>
      </c>
      <c r="E209" s="2">
        <v>46258.385578240741</v>
      </c>
      <c r="F209" s="1" t="s">
        <v>601</v>
      </c>
      <c r="G209" s="1" t="s">
        <v>25</v>
      </c>
      <c r="H209" s="3">
        <v>45109</v>
      </c>
      <c r="I209" s="1">
        <v>6900.5250000000024</v>
      </c>
      <c r="J209" s="1">
        <v>6680</v>
      </c>
      <c r="K209" s="1">
        <v>-220.52500000000236</v>
      </c>
      <c r="L209" s="1">
        <v>2126.25</v>
      </c>
      <c r="M209" s="1">
        <v>4500</v>
      </c>
      <c r="N209" s="1">
        <v>2373.75</v>
      </c>
      <c r="O209" s="1">
        <v>0</v>
      </c>
      <c r="P209" s="1">
        <v>0</v>
      </c>
      <c r="Q209" s="1">
        <v>0</v>
      </c>
      <c r="R209" s="1">
        <v>2433.3333333333335</v>
      </c>
      <c r="S209" s="1">
        <v>3430</v>
      </c>
      <c r="T209" s="1">
        <v>996.66666666666652</v>
      </c>
      <c r="U209" s="1">
        <v>2316.6666666666665</v>
      </c>
      <c r="V209" s="1">
        <v>14610</v>
      </c>
      <c r="W209" s="1">
        <v>3149.8916666666642</v>
      </c>
      <c r="X209" s="1">
        <v>833.22499999999764</v>
      </c>
      <c r="AB209" s="2" t="str">
        <f t="shared" si="3"/>
        <v>PASS</v>
      </c>
      <c r="AV209" s="1"/>
      <c r="AW209" s="1"/>
      <c r="AX209" s="1"/>
    </row>
    <row r="210" spans="1:50">
      <c r="A210" s="1" t="s">
        <v>236</v>
      </c>
      <c r="B210" s="1" t="s">
        <v>24</v>
      </c>
      <c r="C210" s="2">
        <v>46258.444390810182</v>
      </c>
      <c r="D210" s="2">
        <v>45111.074695497686</v>
      </c>
      <c r="E210" s="2">
        <v>46258.385578530091</v>
      </c>
      <c r="F210" s="1" t="s">
        <v>601</v>
      </c>
      <c r="G210" s="1" t="s">
        <v>25</v>
      </c>
      <c r="H210" s="3">
        <v>45110</v>
      </c>
      <c r="I210" s="1">
        <v>5693.44</v>
      </c>
      <c r="J210" s="1">
        <v>10950</v>
      </c>
      <c r="K210" s="1">
        <v>5256.56</v>
      </c>
      <c r="L210" s="1">
        <v>1276.8249999999998</v>
      </c>
      <c r="M210" s="1">
        <v>1500</v>
      </c>
      <c r="N210" s="1">
        <v>223.17500000000015</v>
      </c>
      <c r="O210" s="1">
        <v>23</v>
      </c>
      <c r="P210" s="1">
        <v>350</v>
      </c>
      <c r="Q210" s="1">
        <v>327</v>
      </c>
      <c r="R210" s="1">
        <v>3655.8333333333335</v>
      </c>
      <c r="S210" s="1">
        <v>4810</v>
      </c>
      <c r="T210" s="1">
        <v>1154.1666666666663</v>
      </c>
      <c r="U210" s="1">
        <v>2316.6666666666665</v>
      </c>
      <c r="V210" s="1">
        <v>17610</v>
      </c>
      <c r="W210" s="1">
        <v>6960.9016666666666</v>
      </c>
      <c r="X210" s="1">
        <v>4644.2350000000006</v>
      </c>
      <c r="AB210" s="2" t="str">
        <f t="shared" si="3"/>
        <v>PASS</v>
      </c>
      <c r="AV210" s="1"/>
      <c r="AW210" s="1"/>
      <c r="AX210" s="1"/>
    </row>
    <row r="211" spans="1:50">
      <c r="A211" s="1" t="s">
        <v>237</v>
      </c>
      <c r="B211" s="1" t="s">
        <v>24</v>
      </c>
      <c r="C211" s="2">
        <v>46258.444392557867</v>
      </c>
      <c r="D211" s="2">
        <v>45112.076216331021</v>
      </c>
      <c r="E211" s="2">
        <v>46258.385578611109</v>
      </c>
      <c r="F211" s="1" t="s">
        <v>601</v>
      </c>
      <c r="G211" s="1" t="s">
        <v>25</v>
      </c>
      <c r="H211" s="3">
        <v>45111</v>
      </c>
      <c r="I211" s="1">
        <v>3889.29</v>
      </c>
      <c r="J211" s="1">
        <v>4200</v>
      </c>
      <c r="K211" s="1">
        <v>310.71000000000004</v>
      </c>
      <c r="L211" s="1">
        <v>2181.7250000000004</v>
      </c>
      <c r="M211" s="1">
        <v>5400</v>
      </c>
      <c r="N211" s="1">
        <v>3218.2749999999996</v>
      </c>
      <c r="O211" s="1">
        <v>0</v>
      </c>
      <c r="P211" s="1">
        <v>0</v>
      </c>
      <c r="Q211" s="1">
        <v>0</v>
      </c>
      <c r="R211" s="1">
        <v>3164.166666666667</v>
      </c>
      <c r="S211" s="1">
        <v>4370</v>
      </c>
      <c r="T211" s="1">
        <v>1205.833333333333</v>
      </c>
      <c r="U211" s="1">
        <v>2316.6666666666665</v>
      </c>
      <c r="V211" s="1">
        <v>13970</v>
      </c>
      <c r="W211" s="1">
        <v>4734.8183333333327</v>
      </c>
      <c r="X211" s="1">
        <v>2418.1516666666662</v>
      </c>
      <c r="AB211" s="2" t="str">
        <f t="shared" si="3"/>
        <v>PASS</v>
      </c>
      <c r="AV211" s="1"/>
      <c r="AW211" s="1"/>
      <c r="AX211" s="1"/>
    </row>
    <row r="212" spans="1:50">
      <c r="A212" s="1" t="s">
        <v>238</v>
      </c>
      <c r="B212" s="1" t="s">
        <v>24</v>
      </c>
      <c r="C212" s="2">
        <v>46258.444394016202</v>
      </c>
      <c r="D212" s="2">
        <v>45120.110206122685</v>
      </c>
      <c r="E212" s="2">
        <v>46258.385578703703</v>
      </c>
      <c r="F212" s="1" t="s">
        <v>601</v>
      </c>
      <c r="G212" s="1" t="s">
        <v>25</v>
      </c>
      <c r="H212" s="3">
        <v>45119</v>
      </c>
      <c r="I212" s="1">
        <v>5237.3849999999984</v>
      </c>
      <c r="J212" s="1">
        <v>8720</v>
      </c>
      <c r="K212" s="1">
        <v>3482.6150000000016</v>
      </c>
      <c r="L212" s="1">
        <v>2749.6749999999997</v>
      </c>
      <c r="M212" s="1">
        <v>5700</v>
      </c>
      <c r="N212" s="1">
        <v>2950.3250000000003</v>
      </c>
      <c r="O212" s="1">
        <v>172.5</v>
      </c>
      <c r="P212" s="1">
        <v>800</v>
      </c>
      <c r="Q212" s="1">
        <v>627.5</v>
      </c>
      <c r="R212" s="1">
        <v>2032.5</v>
      </c>
      <c r="S212" s="1">
        <v>2650</v>
      </c>
      <c r="T212" s="1">
        <v>617.5</v>
      </c>
      <c r="U212" s="1">
        <v>2316.6666666666665</v>
      </c>
      <c r="V212" s="1">
        <v>17870</v>
      </c>
      <c r="W212" s="1">
        <v>7677.9400000000014</v>
      </c>
      <c r="X212" s="1">
        <v>5361.2733333333363</v>
      </c>
      <c r="AB212" s="2" t="str">
        <f t="shared" si="3"/>
        <v>PASS</v>
      </c>
      <c r="AV212" s="1"/>
      <c r="AW212" s="1"/>
      <c r="AX212" s="1"/>
    </row>
    <row r="213" spans="1:50">
      <c r="A213" s="1" t="s">
        <v>239</v>
      </c>
      <c r="B213" s="1" t="s">
        <v>24</v>
      </c>
      <c r="C213" s="2">
        <v>46258.444396261577</v>
      </c>
      <c r="D213" s="2">
        <v>45121.115343877318</v>
      </c>
      <c r="E213" s="2">
        <v>46258.385578912035</v>
      </c>
      <c r="F213" s="1" t="s">
        <v>601</v>
      </c>
      <c r="G213" s="1" t="s">
        <v>25</v>
      </c>
      <c r="H213" s="3">
        <v>45120</v>
      </c>
      <c r="I213" s="1">
        <v>5542.744999999999</v>
      </c>
      <c r="J213" s="1">
        <v>5630</v>
      </c>
      <c r="K213" s="1">
        <v>87.255000000001019</v>
      </c>
      <c r="L213" s="1">
        <v>4806.5350000000008</v>
      </c>
      <c r="M213" s="1">
        <v>8100</v>
      </c>
      <c r="N213" s="1">
        <v>3293.4649999999992</v>
      </c>
      <c r="O213" s="1">
        <v>81</v>
      </c>
      <c r="P213" s="1">
        <v>1000</v>
      </c>
      <c r="Q213" s="1">
        <v>919</v>
      </c>
      <c r="R213" s="1">
        <v>2959.9999999999995</v>
      </c>
      <c r="S213" s="1">
        <v>4030</v>
      </c>
      <c r="T213" s="1">
        <v>1070.0000000000005</v>
      </c>
      <c r="U213" s="1">
        <v>2316.6666666666665</v>
      </c>
      <c r="V213" s="1">
        <v>18760</v>
      </c>
      <c r="W213" s="1">
        <v>5369.7200000000012</v>
      </c>
      <c r="X213" s="1">
        <v>3053.0533333333342</v>
      </c>
      <c r="AB213" s="2" t="str">
        <f t="shared" si="3"/>
        <v>PASS</v>
      </c>
      <c r="AV213" s="1"/>
      <c r="AW213" s="1"/>
      <c r="AX213" s="1"/>
    </row>
    <row r="214" spans="1:50">
      <c r="A214" s="1" t="s">
        <v>240</v>
      </c>
      <c r="B214" s="1" t="s">
        <v>24</v>
      </c>
      <c r="C214" s="2">
        <v>46258.444398020831</v>
      </c>
      <c r="D214" s="2">
        <v>45122.821220810183</v>
      </c>
      <c r="E214" s="2">
        <v>46258.385578993053</v>
      </c>
      <c r="F214" s="1" t="s">
        <v>601</v>
      </c>
      <c r="G214" s="1" t="s">
        <v>25</v>
      </c>
      <c r="H214" s="3">
        <v>45121</v>
      </c>
      <c r="I214" s="1">
        <v>5917.1050000000005</v>
      </c>
      <c r="J214" s="1">
        <v>9670</v>
      </c>
      <c r="K214" s="1">
        <v>3752.8949999999991</v>
      </c>
      <c r="L214" s="1">
        <v>1471.4899999999996</v>
      </c>
      <c r="M214" s="1">
        <v>2100</v>
      </c>
      <c r="N214" s="1">
        <v>628.51000000000045</v>
      </c>
      <c r="O214" s="1">
        <v>35</v>
      </c>
      <c r="P214" s="1">
        <v>600</v>
      </c>
      <c r="Q214" s="1">
        <v>565</v>
      </c>
      <c r="R214" s="1">
        <v>1805</v>
      </c>
      <c r="S214" s="1">
        <v>2440</v>
      </c>
      <c r="T214" s="1">
        <v>635.00000000000023</v>
      </c>
      <c r="U214" s="1">
        <v>2316.6666666666665</v>
      </c>
      <c r="V214" s="1">
        <v>14810</v>
      </c>
      <c r="W214" s="1">
        <v>5581.4049999999997</v>
      </c>
      <c r="X214" s="1">
        <v>3264.7383333333332</v>
      </c>
      <c r="AB214" s="2" t="str">
        <f t="shared" si="3"/>
        <v>PASS</v>
      </c>
      <c r="AV214" s="1"/>
      <c r="AW214" s="1"/>
      <c r="AX214" s="1"/>
    </row>
    <row r="215" spans="1:50">
      <c r="A215" s="1" t="s">
        <v>241</v>
      </c>
      <c r="B215" s="1" t="s">
        <v>24</v>
      </c>
      <c r="C215" s="2">
        <v>46258.444399699074</v>
      </c>
      <c r="D215" s="2">
        <v>46256.367255219906</v>
      </c>
      <c r="E215" s="2">
        <v>46258.385579189817</v>
      </c>
      <c r="F215" s="1" t="s">
        <v>601</v>
      </c>
      <c r="G215" s="1" t="s">
        <v>25</v>
      </c>
      <c r="H215" s="3">
        <v>45122</v>
      </c>
      <c r="I215" s="1">
        <v>4943.8149999999987</v>
      </c>
      <c r="J215" s="1">
        <v>4730</v>
      </c>
      <c r="K215" s="1">
        <v>-213.81499999999869</v>
      </c>
      <c r="L215" s="1">
        <v>1230.0750000000005</v>
      </c>
      <c r="M215" s="1">
        <v>1500</v>
      </c>
      <c r="N215" s="1">
        <v>269.92499999999973</v>
      </c>
      <c r="O215" s="1">
        <v>69</v>
      </c>
      <c r="P215" s="1">
        <v>1050</v>
      </c>
      <c r="Q215" s="1">
        <v>981</v>
      </c>
      <c r="R215" s="1">
        <v>2207.4999999999995</v>
      </c>
      <c r="S215" s="1">
        <v>3000</v>
      </c>
      <c r="T215" s="1">
        <v>792.50000000000045</v>
      </c>
      <c r="U215" s="1">
        <v>2316.6666666666665</v>
      </c>
      <c r="V215" s="1">
        <v>10280</v>
      </c>
      <c r="W215" s="1">
        <v>1829.6100000000015</v>
      </c>
      <c r="X215" s="1">
        <v>-487.05666666666502</v>
      </c>
      <c r="AB215" s="2" t="str">
        <f t="shared" si="3"/>
        <v>PASS</v>
      </c>
      <c r="AV215" s="1"/>
      <c r="AW215" s="1"/>
      <c r="AX215" s="1"/>
    </row>
    <row r="216" spans="1:50">
      <c r="A216" s="1" t="s">
        <v>242</v>
      </c>
      <c r="B216" s="1" t="s">
        <v>24</v>
      </c>
      <c r="C216" s="2">
        <v>46258.444401712964</v>
      </c>
      <c r="D216" s="2">
        <v>46256.371435266206</v>
      </c>
      <c r="E216" s="2">
        <v>46258.385579479167</v>
      </c>
      <c r="F216" s="1" t="s">
        <v>601</v>
      </c>
      <c r="G216" s="1" t="s">
        <v>25</v>
      </c>
      <c r="H216" s="3">
        <v>45123</v>
      </c>
      <c r="I216" s="1">
        <v>5304.1950000000006</v>
      </c>
      <c r="J216" s="1">
        <v>5440</v>
      </c>
      <c r="K216" s="1">
        <v>135.80499999999938</v>
      </c>
      <c r="L216" s="1">
        <v>2066.7999999999997</v>
      </c>
      <c r="M216" s="1">
        <v>3600</v>
      </c>
      <c r="N216" s="1">
        <v>1533.2000000000005</v>
      </c>
      <c r="O216" s="1">
        <v>0</v>
      </c>
      <c r="P216" s="1">
        <v>0</v>
      </c>
      <c r="Q216" s="1">
        <v>0</v>
      </c>
      <c r="R216" s="1">
        <v>3765.833333333333</v>
      </c>
      <c r="S216" s="1">
        <v>4950</v>
      </c>
      <c r="T216" s="1">
        <v>1184.166666666667</v>
      </c>
      <c r="U216" s="1">
        <v>2316.6666666666665</v>
      </c>
      <c r="V216" s="1">
        <v>13990</v>
      </c>
      <c r="W216" s="1">
        <v>2853.1716666666666</v>
      </c>
      <c r="X216" s="1">
        <v>536.50500000000011</v>
      </c>
      <c r="AB216" s="2" t="str">
        <f t="shared" si="3"/>
        <v>PASS</v>
      </c>
      <c r="AV216" s="1"/>
      <c r="AW216" s="1"/>
      <c r="AX216" s="1"/>
    </row>
    <row r="217" spans="1:50">
      <c r="A217" s="1" t="s">
        <v>243</v>
      </c>
      <c r="B217" s="1" t="s">
        <v>24</v>
      </c>
      <c r="C217" s="2">
        <v>46258.444403379632</v>
      </c>
      <c r="D217" s="2">
        <v>45125.160260821758</v>
      </c>
      <c r="E217" s="2">
        <v>46258.385579699076</v>
      </c>
      <c r="F217" s="1" t="s">
        <v>601</v>
      </c>
      <c r="G217" s="1" t="s">
        <v>25</v>
      </c>
      <c r="H217" s="3">
        <v>45124</v>
      </c>
      <c r="I217" s="1">
        <v>4696.2450000000008</v>
      </c>
      <c r="J217" s="1">
        <v>5620</v>
      </c>
      <c r="K217" s="1">
        <v>923.7549999999992</v>
      </c>
      <c r="L217" s="1">
        <v>2554.3000000000002</v>
      </c>
      <c r="M217" s="1">
        <v>3600</v>
      </c>
      <c r="N217" s="1">
        <v>1045.6999999999998</v>
      </c>
      <c r="O217" s="1">
        <v>128</v>
      </c>
      <c r="P217" s="1">
        <v>2150</v>
      </c>
      <c r="Q217" s="1">
        <v>2022</v>
      </c>
      <c r="R217" s="1">
        <v>2615.8333333333335</v>
      </c>
      <c r="S217" s="1">
        <v>3830</v>
      </c>
      <c r="T217" s="1">
        <v>1214.1666666666663</v>
      </c>
      <c r="U217" s="1">
        <v>2316.6666666666665</v>
      </c>
      <c r="V217" s="1">
        <v>15200</v>
      </c>
      <c r="W217" s="1">
        <v>5205.621666666666</v>
      </c>
      <c r="X217" s="1">
        <v>2888.9549999999995</v>
      </c>
      <c r="AB217" s="2" t="str">
        <f t="shared" si="3"/>
        <v>PASS</v>
      </c>
      <c r="AV217" s="1"/>
      <c r="AW217" s="1"/>
      <c r="AX217" s="1"/>
    </row>
    <row r="218" spans="1:50">
      <c r="A218" s="1" t="s">
        <v>244</v>
      </c>
      <c r="B218" s="1" t="s">
        <v>24</v>
      </c>
      <c r="C218" s="2">
        <v>46258.444404953705</v>
      </c>
      <c r="D218" s="2">
        <v>45126.079498101855</v>
      </c>
      <c r="E218" s="2">
        <v>46258.385579953705</v>
      </c>
      <c r="F218" s="1" t="s">
        <v>601</v>
      </c>
      <c r="G218" s="1" t="s">
        <v>25</v>
      </c>
      <c r="H218" s="3">
        <v>45125</v>
      </c>
      <c r="I218" s="1">
        <v>4930.04</v>
      </c>
      <c r="J218" s="1">
        <v>4420</v>
      </c>
      <c r="K218" s="1">
        <v>-510.04</v>
      </c>
      <c r="L218" s="1">
        <v>2549.5000000000005</v>
      </c>
      <c r="M218" s="1">
        <v>3900</v>
      </c>
      <c r="N218" s="1">
        <v>1350.4999999999995</v>
      </c>
      <c r="O218" s="1">
        <v>151</v>
      </c>
      <c r="P218" s="1">
        <v>1900</v>
      </c>
      <c r="Q218" s="1">
        <v>1749</v>
      </c>
      <c r="R218" s="1">
        <v>2290.833333333333</v>
      </c>
      <c r="S218" s="1">
        <v>3100</v>
      </c>
      <c r="T218" s="1">
        <v>809.16666666666708</v>
      </c>
      <c r="U218" s="1">
        <v>2316.6666666666665</v>
      </c>
      <c r="V218" s="1">
        <v>13320</v>
      </c>
      <c r="W218" s="1">
        <v>3398.6266666666666</v>
      </c>
      <c r="X218" s="1">
        <v>1081.96</v>
      </c>
      <c r="AB218" s="2" t="str">
        <f t="shared" si="3"/>
        <v>PASS</v>
      </c>
      <c r="AV218" s="1"/>
      <c r="AW218" s="1"/>
      <c r="AX218" s="1"/>
    </row>
    <row r="219" spans="1:50">
      <c r="A219" s="1" t="s">
        <v>245</v>
      </c>
      <c r="B219" s="1" t="s">
        <v>24</v>
      </c>
      <c r="C219" s="2">
        <v>46258.444406574075</v>
      </c>
      <c r="D219" s="2">
        <v>45127.078296527776</v>
      </c>
      <c r="E219" s="2">
        <v>46258.385580046299</v>
      </c>
      <c r="F219" s="1" t="s">
        <v>601</v>
      </c>
      <c r="G219" s="1" t="s">
        <v>25</v>
      </c>
      <c r="H219" s="3">
        <v>45126</v>
      </c>
      <c r="I219" s="1">
        <v>5076.1400000000003</v>
      </c>
      <c r="J219" s="1">
        <v>6650</v>
      </c>
      <c r="K219" s="1">
        <v>1573.8599999999997</v>
      </c>
      <c r="L219" s="1">
        <v>2079.9750000000004</v>
      </c>
      <c r="M219" s="1">
        <v>3000</v>
      </c>
      <c r="N219" s="1">
        <v>920.02499999999964</v>
      </c>
      <c r="O219" s="1">
        <v>81</v>
      </c>
      <c r="P219" s="1">
        <v>1000</v>
      </c>
      <c r="Q219" s="1">
        <v>919</v>
      </c>
      <c r="R219" s="1">
        <v>1145.8333333333333</v>
      </c>
      <c r="S219" s="1">
        <v>1510</v>
      </c>
      <c r="T219" s="1">
        <v>364.16666666666674</v>
      </c>
      <c r="U219" s="1">
        <v>2316.6666666666665</v>
      </c>
      <c r="V219" s="1">
        <v>12160</v>
      </c>
      <c r="W219" s="1">
        <v>3777.0516666666663</v>
      </c>
      <c r="X219" s="1">
        <v>1460.3849999999998</v>
      </c>
      <c r="AB219" s="2" t="str">
        <f t="shared" si="3"/>
        <v>PASS</v>
      </c>
      <c r="AV219" s="1"/>
      <c r="AW219" s="1"/>
      <c r="AX219" s="1"/>
    </row>
    <row r="220" spans="1:50">
      <c r="A220" s="1" t="s">
        <v>246</v>
      </c>
      <c r="B220" s="1" t="s">
        <v>24</v>
      </c>
      <c r="C220" s="2">
        <v>46258.444408657408</v>
      </c>
      <c r="D220" s="2">
        <v>45128.660795625001</v>
      </c>
      <c r="E220" s="2">
        <v>46258.385580115741</v>
      </c>
      <c r="F220" s="1" t="s">
        <v>601</v>
      </c>
      <c r="G220" s="1" t="s">
        <v>25</v>
      </c>
      <c r="H220" s="3">
        <v>45127</v>
      </c>
      <c r="I220" s="1">
        <v>5578.9830000000002</v>
      </c>
      <c r="J220" s="1">
        <v>9830</v>
      </c>
      <c r="K220" s="1">
        <v>4251.0169999999998</v>
      </c>
      <c r="L220" s="1">
        <v>1093.6600000000001</v>
      </c>
      <c r="M220" s="1">
        <v>600</v>
      </c>
      <c r="N220" s="1">
        <v>-493.65999999999985</v>
      </c>
      <c r="O220" s="1">
        <v>104</v>
      </c>
      <c r="P220" s="1">
        <v>1350</v>
      </c>
      <c r="Q220" s="1">
        <v>1246</v>
      </c>
      <c r="R220" s="1">
        <v>1615</v>
      </c>
      <c r="S220" s="1">
        <v>2100</v>
      </c>
      <c r="T220" s="1">
        <v>485</v>
      </c>
      <c r="U220" s="1">
        <v>2316.6666666666665</v>
      </c>
      <c r="V220" s="1">
        <v>13880</v>
      </c>
      <c r="W220" s="1">
        <v>5488.357</v>
      </c>
      <c r="X220" s="1">
        <v>3171.6903333333335</v>
      </c>
      <c r="AB220" s="2" t="str">
        <f t="shared" si="3"/>
        <v>PASS</v>
      </c>
      <c r="AV220" s="1"/>
      <c r="AW220" s="1"/>
      <c r="AX220" s="1"/>
    </row>
    <row r="221" spans="1:50">
      <c r="A221" s="1" t="s">
        <v>247</v>
      </c>
      <c r="B221" s="1" t="s">
        <v>24</v>
      </c>
      <c r="C221" s="2">
        <v>46258.444410173608</v>
      </c>
      <c r="D221" s="2">
        <v>46256.367423425923</v>
      </c>
      <c r="E221" s="2">
        <v>46258.385580208334</v>
      </c>
      <c r="F221" s="1" t="s">
        <v>601</v>
      </c>
      <c r="G221" s="1" t="s">
        <v>25</v>
      </c>
      <c r="H221" s="3">
        <v>45128</v>
      </c>
      <c r="I221" s="1">
        <v>4124.9120000000003</v>
      </c>
      <c r="J221" s="1">
        <v>4990</v>
      </c>
      <c r="K221" s="1">
        <v>865.08799999999962</v>
      </c>
      <c r="L221" s="1">
        <v>2237.8500000000004</v>
      </c>
      <c r="M221" s="1">
        <v>3500</v>
      </c>
      <c r="N221" s="1">
        <v>1262.1499999999996</v>
      </c>
      <c r="O221" s="1">
        <v>23</v>
      </c>
      <c r="P221" s="1">
        <v>350</v>
      </c>
      <c r="Q221" s="1">
        <v>327</v>
      </c>
      <c r="R221" s="1">
        <v>3858.3333333333335</v>
      </c>
      <c r="S221" s="1">
        <v>5000</v>
      </c>
      <c r="T221" s="1">
        <v>1141.6666666666663</v>
      </c>
      <c r="U221" s="1">
        <v>2316.6666666666665</v>
      </c>
      <c r="V221" s="1">
        <v>13840</v>
      </c>
      <c r="W221" s="1">
        <v>3595.9046666666659</v>
      </c>
      <c r="X221" s="1">
        <v>1279.2379999999994</v>
      </c>
      <c r="AB221" s="2" t="str">
        <f t="shared" si="3"/>
        <v>PASS</v>
      </c>
      <c r="AV221" s="1"/>
      <c r="AW221" s="1"/>
      <c r="AX221" s="1"/>
    </row>
    <row r="222" spans="1:50">
      <c r="A222" s="1" t="s">
        <v>248</v>
      </c>
      <c r="B222" s="1" t="s">
        <v>24</v>
      </c>
      <c r="C222" s="2">
        <v>46258.444411956021</v>
      </c>
      <c r="D222" s="2">
        <v>45130.05198546296</v>
      </c>
      <c r="E222" s="2">
        <v>46258.385580393522</v>
      </c>
      <c r="F222" s="1" t="s">
        <v>601</v>
      </c>
      <c r="G222" s="1" t="s">
        <v>25</v>
      </c>
      <c r="H222" s="3">
        <v>45129</v>
      </c>
      <c r="I222" s="1">
        <v>4929.4250000000002</v>
      </c>
      <c r="J222" s="1">
        <v>7130</v>
      </c>
      <c r="K222" s="1">
        <v>2200.5749999999998</v>
      </c>
      <c r="L222" s="1">
        <v>4178.01</v>
      </c>
      <c r="M222" s="1">
        <v>6800</v>
      </c>
      <c r="N222" s="1">
        <v>2621.99</v>
      </c>
      <c r="O222" s="1">
        <v>198</v>
      </c>
      <c r="P222" s="1">
        <v>2600</v>
      </c>
      <c r="Q222" s="1">
        <v>2402</v>
      </c>
      <c r="R222" s="1">
        <v>2402.5</v>
      </c>
      <c r="S222" s="1">
        <v>3160</v>
      </c>
      <c r="T222" s="1">
        <v>757.5</v>
      </c>
      <c r="U222" s="1">
        <v>2316.6666666666665</v>
      </c>
      <c r="V222" s="1">
        <v>19690</v>
      </c>
      <c r="W222" s="1">
        <v>7982.0649999999996</v>
      </c>
      <c r="X222" s="1">
        <v>5665.3983333333326</v>
      </c>
      <c r="AB222" s="2" t="str">
        <f t="shared" si="3"/>
        <v>PASS</v>
      </c>
      <c r="AV222" s="1"/>
      <c r="AW222" s="1"/>
      <c r="AX222" s="1"/>
    </row>
    <row r="223" spans="1:50">
      <c r="A223" s="1" t="s">
        <v>249</v>
      </c>
      <c r="B223" s="1" t="s">
        <v>24</v>
      </c>
      <c r="C223" s="2">
        <v>46258.444413715275</v>
      </c>
      <c r="D223" s="2">
        <v>46256.367539155093</v>
      </c>
      <c r="E223" s="2">
        <v>46258.385580462964</v>
      </c>
      <c r="F223" s="1" t="s">
        <v>601</v>
      </c>
      <c r="G223" s="1" t="s">
        <v>25</v>
      </c>
      <c r="H223" s="3">
        <v>45130</v>
      </c>
      <c r="I223" s="1">
        <v>6159.585</v>
      </c>
      <c r="J223" s="1">
        <v>6600</v>
      </c>
      <c r="K223" s="1">
        <v>440.41500000000002</v>
      </c>
      <c r="L223" s="1">
        <v>3225.5249999999996</v>
      </c>
      <c r="M223" s="1">
        <v>5600</v>
      </c>
      <c r="N223" s="1">
        <v>2374.4750000000004</v>
      </c>
      <c r="O223" s="1">
        <v>70</v>
      </c>
      <c r="P223" s="1">
        <v>600</v>
      </c>
      <c r="Q223" s="1">
        <v>530</v>
      </c>
      <c r="R223" s="1">
        <v>2314.9999999999995</v>
      </c>
      <c r="S223" s="1">
        <v>2890</v>
      </c>
      <c r="T223" s="1">
        <v>575.00000000000045</v>
      </c>
      <c r="U223" s="1">
        <v>2316.6666666666665</v>
      </c>
      <c r="V223" s="1">
        <v>15690</v>
      </c>
      <c r="W223" s="1">
        <v>3919.8900000000008</v>
      </c>
      <c r="X223" s="1">
        <v>1603.2233333333345</v>
      </c>
      <c r="AB223" s="2" t="str">
        <f t="shared" si="3"/>
        <v>PASS</v>
      </c>
      <c r="AV223" s="1"/>
      <c r="AW223" s="1"/>
      <c r="AX223" s="1"/>
    </row>
    <row r="224" spans="1:50">
      <c r="A224" s="1" t="s">
        <v>250</v>
      </c>
      <c r="B224" s="1" t="s">
        <v>24</v>
      </c>
      <c r="C224" s="2">
        <v>46258.444415706021</v>
      </c>
      <c r="D224" s="2">
        <v>45132.085029675924</v>
      </c>
      <c r="E224" s="2">
        <v>46258.38558065972</v>
      </c>
      <c r="F224" s="1" t="s">
        <v>601</v>
      </c>
      <c r="G224" s="1" t="s">
        <v>25</v>
      </c>
      <c r="H224" s="3">
        <v>45131</v>
      </c>
      <c r="I224" s="1">
        <v>5026.7259999999997</v>
      </c>
      <c r="J224" s="1">
        <v>7460</v>
      </c>
      <c r="K224" s="1">
        <v>2433.2740000000003</v>
      </c>
      <c r="L224" s="1">
        <v>1525.7999999999995</v>
      </c>
      <c r="M224" s="1">
        <v>2000</v>
      </c>
      <c r="N224" s="1">
        <v>474.20000000000022</v>
      </c>
      <c r="O224" s="1">
        <v>93</v>
      </c>
      <c r="P224" s="1">
        <v>900</v>
      </c>
      <c r="Q224" s="1">
        <v>807</v>
      </c>
      <c r="R224" s="1">
        <v>1954.1666666666667</v>
      </c>
      <c r="S224" s="1">
        <v>2660</v>
      </c>
      <c r="T224" s="1">
        <v>705.83333333333326</v>
      </c>
      <c r="U224" s="1">
        <v>2316.6666666666665</v>
      </c>
      <c r="V224" s="1">
        <v>13020</v>
      </c>
      <c r="W224" s="1">
        <v>4420.3073333333341</v>
      </c>
      <c r="X224" s="1">
        <v>2103.6406666666676</v>
      </c>
      <c r="AB224" s="2" t="str">
        <f t="shared" si="3"/>
        <v>PASS</v>
      </c>
      <c r="AV224" s="1"/>
      <c r="AW224" s="1"/>
      <c r="AX224" s="1"/>
    </row>
    <row r="225" spans="1:50">
      <c r="A225" s="1" t="s">
        <v>251</v>
      </c>
      <c r="B225" s="1" t="s">
        <v>24</v>
      </c>
      <c r="C225" s="2">
        <v>46258.444417812498</v>
      </c>
      <c r="D225" s="2">
        <v>45133.106675474533</v>
      </c>
      <c r="E225" s="2">
        <v>46258.385580925926</v>
      </c>
      <c r="F225" s="1" t="s">
        <v>601</v>
      </c>
      <c r="G225" s="1" t="s">
        <v>25</v>
      </c>
      <c r="H225" s="3">
        <v>45132</v>
      </c>
      <c r="I225" s="1">
        <v>4321.4649999999992</v>
      </c>
      <c r="J225" s="1">
        <v>7000</v>
      </c>
      <c r="K225" s="1">
        <v>2678.5350000000008</v>
      </c>
      <c r="L225" s="1">
        <v>2074.3500000000004</v>
      </c>
      <c r="M225" s="1">
        <v>3800</v>
      </c>
      <c r="N225" s="1">
        <v>1725.6499999999996</v>
      </c>
      <c r="O225" s="1">
        <v>35</v>
      </c>
      <c r="P225" s="1">
        <v>650</v>
      </c>
      <c r="Q225" s="1">
        <v>615</v>
      </c>
      <c r="R225" s="1">
        <v>2175.8333333333335</v>
      </c>
      <c r="S225" s="1">
        <v>2880</v>
      </c>
      <c r="T225" s="1">
        <v>704.16666666666652</v>
      </c>
      <c r="U225" s="1">
        <v>2316.6666666666665</v>
      </c>
      <c r="V225" s="1">
        <v>14330</v>
      </c>
      <c r="W225" s="1">
        <v>5723.3516666666674</v>
      </c>
      <c r="X225" s="1">
        <v>3406.6850000000009</v>
      </c>
      <c r="AB225" s="2" t="str">
        <f t="shared" si="3"/>
        <v>PASS</v>
      </c>
      <c r="AV225" s="1"/>
      <c r="AW225" s="1"/>
      <c r="AX225" s="1"/>
    </row>
    <row r="226" spans="1:50">
      <c r="A226" s="1" t="s">
        <v>252</v>
      </c>
      <c r="B226" s="1" t="s">
        <v>24</v>
      </c>
      <c r="C226" s="2">
        <v>46258.444419687497</v>
      </c>
      <c r="D226" s="2">
        <v>45134.218963599538</v>
      </c>
      <c r="E226" s="2">
        <v>46258.385580995367</v>
      </c>
      <c r="F226" s="1" t="s">
        <v>601</v>
      </c>
      <c r="G226" s="1" t="s">
        <v>25</v>
      </c>
      <c r="H226" s="3">
        <v>45133</v>
      </c>
      <c r="I226" s="1">
        <v>5718.915</v>
      </c>
      <c r="J226" s="1">
        <v>4040</v>
      </c>
      <c r="K226" s="1">
        <v>-1678.915</v>
      </c>
      <c r="L226" s="1">
        <v>2461.7750000000005</v>
      </c>
      <c r="M226" s="1">
        <v>3000</v>
      </c>
      <c r="N226" s="1">
        <v>538.22499999999945</v>
      </c>
      <c r="O226" s="1">
        <v>373</v>
      </c>
      <c r="P226" s="1">
        <v>3850</v>
      </c>
      <c r="Q226" s="1">
        <v>3477</v>
      </c>
      <c r="R226" s="1">
        <v>2218.333333333333</v>
      </c>
      <c r="S226" s="1">
        <v>2800</v>
      </c>
      <c r="T226" s="1">
        <v>581.66666666666697</v>
      </c>
      <c r="U226" s="1">
        <v>2316.6666666666665</v>
      </c>
      <c r="V226" s="1">
        <v>13690</v>
      </c>
      <c r="W226" s="1">
        <v>2917.9766666666665</v>
      </c>
      <c r="X226" s="1">
        <v>601.30999999999995</v>
      </c>
      <c r="AB226" s="2" t="str">
        <f t="shared" si="3"/>
        <v>PASS</v>
      </c>
      <c r="AV226" s="1"/>
      <c r="AW226" s="1"/>
      <c r="AX226" s="1"/>
    </row>
    <row r="227" spans="1:50">
      <c r="A227" s="1" t="s">
        <v>253</v>
      </c>
      <c r="B227" s="1" t="s">
        <v>24</v>
      </c>
      <c r="C227" s="2">
        <v>46258.444421400462</v>
      </c>
      <c r="D227" s="2">
        <v>45135.094650474537</v>
      </c>
      <c r="E227" s="2">
        <v>46258.385581064817</v>
      </c>
      <c r="F227" s="1" t="s">
        <v>601</v>
      </c>
      <c r="G227" s="1" t="s">
        <v>25</v>
      </c>
      <c r="H227" s="3">
        <v>45134</v>
      </c>
      <c r="I227" s="1">
        <v>5943.0499999999984</v>
      </c>
      <c r="J227" s="1">
        <v>8080</v>
      </c>
      <c r="K227" s="1">
        <v>2136.9500000000016</v>
      </c>
      <c r="L227" s="1">
        <v>2851.2000000000003</v>
      </c>
      <c r="M227" s="1">
        <v>4000</v>
      </c>
      <c r="N227" s="1">
        <v>1148.7999999999995</v>
      </c>
      <c r="O227" s="1">
        <v>151</v>
      </c>
      <c r="P227" s="1">
        <v>1850</v>
      </c>
      <c r="Q227" s="1">
        <v>1699</v>
      </c>
      <c r="R227" s="1">
        <v>3205.8333333333335</v>
      </c>
      <c r="S227" s="1">
        <v>4100</v>
      </c>
      <c r="T227" s="1">
        <v>894.16666666666652</v>
      </c>
      <c r="U227" s="1">
        <v>2316.6666666666665</v>
      </c>
      <c r="V227" s="1">
        <v>18030</v>
      </c>
      <c r="W227" s="1">
        <v>5878.9166666666679</v>
      </c>
      <c r="X227" s="1">
        <v>3562.2500000000018</v>
      </c>
      <c r="AB227" s="2" t="str">
        <f t="shared" si="3"/>
        <v>PASS</v>
      </c>
      <c r="AV227" s="1"/>
      <c r="AW227" s="1"/>
      <c r="AX227" s="1"/>
    </row>
    <row r="228" spans="1:50">
      <c r="A228" s="1" t="s">
        <v>254</v>
      </c>
      <c r="B228" s="1" t="s">
        <v>24</v>
      </c>
      <c r="C228" s="2">
        <v>46258.444423310182</v>
      </c>
      <c r="D228" s="2">
        <v>45136.078355370373</v>
      </c>
      <c r="E228" s="2">
        <v>46258.385581134258</v>
      </c>
      <c r="F228" s="1" t="s">
        <v>601</v>
      </c>
      <c r="G228" s="1" t="s">
        <v>25</v>
      </c>
      <c r="H228" s="3">
        <v>45135</v>
      </c>
      <c r="I228" s="1">
        <v>4531.8900000000003</v>
      </c>
      <c r="J228" s="1">
        <v>4770</v>
      </c>
      <c r="K228" s="1">
        <v>238.10999999999967</v>
      </c>
      <c r="L228" s="1">
        <v>2779.7749999999987</v>
      </c>
      <c r="M228" s="1">
        <v>4600</v>
      </c>
      <c r="N228" s="1">
        <v>1820.2250000000013</v>
      </c>
      <c r="O228" s="1">
        <v>116</v>
      </c>
      <c r="P228" s="1">
        <v>1300</v>
      </c>
      <c r="Q228" s="1">
        <v>1184</v>
      </c>
      <c r="R228" s="1">
        <v>2664.166666666667</v>
      </c>
      <c r="S228" s="1">
        <v>3370</v>
      </c>
      <c r="T228" s="1">
        <v>705.83333333333303</v>
      </c>
      <c r="U228" s="1">
        <v>2316.6666666666665</v>
      </c>
      <c r="V228" s="1">
        <v>14040</v>
      </c>
      <c r="W228" s="1">
        <v>3948.168333333334</v>
      </c>
      <c r="X228" s="1">
        <v>1631.5016666666677</v>
      </c>
      <c r="AB228" s="2" t="str">
        <f t="shared" si="3"/>
        <v>PASS</v>
      </c>
      <c r="AV228" s="1"/>
      <c r="AW228" s="1"/>
      <c r="AX228" s="1"/>
    </row>
    <row r="229" spans="1:50">
      <c r="A229" s="1" t="s">
        <v>255</v>
      </c>
      <c r="B229" s="1" t="s">
        <v>24</v>
      </c>
      <c r="C229" s="2">
        <v>46258.444426111113</v>
      </c>
      <c r="D229" s="2">
        <v>45137.1396002662</v>
      </c>
      <c r="E229" s="2">
        <v>46258.385581215276</v>
      </c>
      <c r="F229" s="1" t="s">
        <v>601</v>
      </c>
      <c r="G229" s="1" t="s">
        <v>25</v>
      </c>
      <c r="H229" s="3">
        <v>45136</v>
      </c>
      <c r="I229" s="1">
        <v>3547.9599999999987</v>
      </c>
      <c r="J229" s="1">
        <v>7160</v>
      </c>
      <c r="K229" s="1">
        <v>3612.0400000000018</v>
      </c>
      <c r="L229" s="1">
        <v>2102.5499999999997</v>
      </c>
      <c r="M229" s="1">
        <v>2900</v>
      </c>
      <c r="N229" s="1">
        <v>797.45000000000027</v>
      </c>
      <c r="O229" s="1">
        <v>174</v>
      </c>
      <c r="P229" s="1">
        <v>1950</v>
      </c>
      <c r="Q229" s="1">
        <v>1776</v>
      </c>
      <c r="R229" s="1">
        <v>2066.6666666666665</v>
      </c>
      <c r="S229" s="1">
        <v>2720</v>
      </c>
      <c r="T229" s="1">
        <v>653.33333333333348</v>
      </c>
      <c r="U229" s="1">
        <v>2316.6666666666665</v>
      </c>
      <c r="V229" s="1">
        <v>14730</v>
      </c>
      <c r="W229" s="1">
        <v>6838.8233333333355</v>
      </c>
      <c r="X229" s="1">
        <v>4522.1566666666695</v>
      </c>
      <c r="AB229" s="2" t="str">
        <f t="shared" si="3"/>
        <v>PASS</v>
      </c>
      <c r="AV229" s="1"/>
      <c r="AW229" s="1"/>
      <c r="AX229" s="1"/>
    </row>
    <row r="230" spans="1:50">
      <c r="A230" s="1" t="s">
        <v>256</v>
      </c>
      <c r="B230" s="1" t="s">
        <v>24</v>
      </c>
      <c r="C230" s="2">
        <v>46258.444428541668</v>
      </c>
      <c r="D230" s="2">
        <v>45138.111770740739</v>
      </c>
      <c r="E230" s="2">
        <v>46258.385581296294</v>
      </c>
      <c r="F230" s="1" t="s">
        <v>601</v>
      </c>
      <c r="G230" s="1" t="s">
        <v>25</v>
      </c>
      <c r="H230" s="3">
        <v>45137</v>
      </c>
      <c r="I230" s="1">
        <v>4752.8849999999993</v>
      </c>
      <c r="J230" s="1">
        <v>8760</v>
      </c>
      <c r="K230" s="1">
        <v>4007.1150000000007</v>
      </c>
      <c r="L230" s="1">
        <v>4867.8249999999989</v>
      </c>
      <c r="M230" s="1">
        <v>4300</v>
      </c>
      <c r="N230" s="1">
        <v>-567.82499999999891</v>
      </c>
      <c r="O230" s="1">
        <v>497.75</v>
      </c>
      <c r="P230" s="1">
        <v>5100</v>
      </c>
      <c r="Q230" s="1">
        <v>4602.25</v>
      </c>
      <c r="R230" s="1">
        <v>3428.3333333333335</v>
      </c>
      <c r="S230" s="1">
        <v>4400</v>
      </c>
      <c r="T230" s="1">
        <v>971.66666666666652</v>
      </c>
      <c r="U230" s="1">
        <v>2316.6666666666665</v>
      </c>
      <c r="V230" s="1">
        <v>22560</v>
      </c>
      <c r="W230" s="1">
        <v>9013.2066666666688</v>
      </c>
      <c r="X230" s="1">
        <v>6696.5400000000027</v>
      </c>
      <c r="AB230" s="2" t="str">
        <f t="shared" si="3"/>
        <v>PASS</v>
      </c>
      <c r="AV230" s="1"/>
      <c r="AW230" s="1"/>
      <c r="AX230" s="1"/>
    </row>
    <row r="231" spans="1:50">
      <c r="A231" s="1" t="s">
        <v>257</v>
      </c>
      <c r="B231" s="1" t="s">
        <v>24</v>
      </c>
      <c r="C231" s="2">
        <v>46258.444430277777</v>
      </c>
      <c r="D231" s="2">
        <v>45139.101881435185</v>
      </c>
      <c r="E231" s="2">
        <v>46258.385581481481</v>
      </c>
      <c r="F231" s="1" t="s">
        <v>601</v>
      </c>
      <c r="G231" s="1" t="s">
        <v>25</v>
      </c>
      <c r="H231" s="3">
        <v>45138</v>
      </c>
      <c r="I231" s="1">
        <v>6232.8</v>
      </c>
      <c r="J231" s="1">
        <v>7290</v>
      </c>
      <c r="K231" s="1">
        <v>1057.1999999999998</v>
      </c>
      <c r="L231" s="1">
        <v>1663.2499999999998</v>
      </c>
      <c r="M231" s="1">
        <v>2500</v>
      </c>
      <c r="N231" s="1">
        <v>836.75000000000011</v>
      </c>
      <c r="O231" s="1">
        <v>105</v>
      </c>
      <c r="P231" s="1">
        <v>1150</v>
      </c>
      <c r="Q231" s="1">
        <v>1045</v>
      </c>
      <c r="R231" s="1">
        <v>2252.4999999999995</v>
      </c>
      <c r="S231" s="1">
        <v>2850</v>
      </c>
      <c r="T231" s="1">
        <v>597.50000000000045</v>
      </c>
      <c r="U231" s="1">
        <v>2316.6666666666665</v>
      </c>
      <c r="V231" s="1">
        <v>13790</v>
      </c>
      <c r="W231" s="1">
        <v>3536.4500000000003</v>
      </c>
      <c r="X231" s="1">
        <v>1219.7833333333338</v>
      </c>
      <c r="AB231" s="2" t="str">
        <f t="shared" si="3"/>
        <v>PASS</v>
      </c>
      <c r="AV231" s="1"/>
      <c r="AW231" s="1"/>
      <c r="AX231" s="1"/>
    </row>
    <row r="232" spans="1:50">
      <c r="A232" s="1" t="s">
        <v>258</v>
      </c>
      <c r="B232" s="1" t="s">
        <v>24</v>
      </c>
      <c r="C232" s="2">
        <v>46258.444198344907</v>
      </c>
      <c r="D232" s="2">
        <v>45140.121979560186</v>
      </c>
      <c r="E232" s="2">
        <v>46258.385558495371</v>
      </c>
      <c r="F232" s="1" t="s">
        <v>602</v>
      </c>
      <c r="G232" s="1" t="s">
        <v>25</v>
      </c>
      <c r="H232" s="3">
        <v>45139</v>
      </c>
      <c r="I232" s="1">
        <v>5172.2249999999995</v>
      </c>
      <c r="J232" s="1">
        <v>6190</v>
      </c>
      <c r="K232" s="1">
        <v>1017.7750000000004</v>
      </c>
      <c r="L232" s="1">
        <v>3327.7249999999999</v>
      </c>
      <c r="M232" s="1">
        <v>5900</v>
      </c>
      <c r="N232" s="1">
        <v>2572.2750000000001</v>
      </c>
      <c r="O232" s="1">
        <v>783</v>
      </c>
      <c r="P232" s="1">
        <v>2920</v>
      </c>
      <c r="Q232" s="1">
        <v>2137</v>
      </c>
      <c r="R232" s="1">
        <v>3302.5</v>
      </c>
      <c r="S232" s="1">
        <v>4310</v>
      </c>
      <c r="T232" s="1">
        <v>1007.5</v>
      </c>
      <c r="U232" s="1">
        <v>2316.6666666666665</v>
      </c>
      <c r="V232" s="1">
        <v>19320</v>
      </c>
      <c r="W232" s="1">
        <v>6734.5500000000011</v>
      </c>
      <c r="X232" s="1">
        <v>4417.883333333335</v>
      </c>
      <c r="AB232" s="2" t="str">
        <f t="shared" si="3"/>
        <v>PASS</v>
      </c>
      <c r="AV232" s="1"/>
      <c r="AW232" s="1"/>
      <c r="AX232" s="1"/>
    </row>
    <row r="233" spans="1:50">
      <c r="A233" s="1" t="s">
        <v>259</v>
      </c>
      <c r="B233" s="1" t="s">
        <v>24</v>
      </c>
      <c r="C233" s="2">
        <v>46258.444200115744</v>
      </c>
      <c r="D233" s="2">
        <v>45141.125254178238</v>
      </c>
      <c r="E233" s="2">
        <v>46258.385558576389</v>
      </c>
      <c r="F233" s="1" t="s">
        <v>602</v>
      </c>
      <c r="G233" s="1" t="s">
        <v>25</v>
      </c>
      <c r="H233" s="3">
        <v>45140</v>
      </c>
      <c r="I233" s="1">
        <v>4654.0600000000004</v>
      </c>
      <c r="J233" s="1">
        <v>9130</v>
      </c>
      <c r="K233" s="1">
        <v>4475.9399999999996</v>
      </c>
      <c r="L233" s="1">
        <v>3762.95</v>
      </c>
      <c r="M233" s="1">
        <v>4900</v>
      </c>
      <c r="N233" s="1">
        <v>1137.0499999999995</v>
      </c>
      <c r="O233" s="1">
        <v>221</v>
      </c>
      <c r="P233" s="1">
        <v>2950</v>
      </c>
      <c r="Q233" s="1">
        <v>2729</v>
      </c>
      <c r="R233" s="1">
        <v>2728.333333333333</v>
      </c>
      <c r="S233" s="1">
        <v>3590</v>
      </c>
      <c r="T233" s="1">
        <v>861.66666666666708</v>
      </c>
      <c r="U233" s="1">
        <v>2316.6666666666665</v>
      </c>
      <c r="V233" s="1">
        <v>20570</v>
      </c>
      <c r="W233" s="1">
        <v>9203.6566666666658</v>
      </c>
      <c r="X233" s="1">
        <v>6886.99</v>
      </c>
      <c r="AB233" s="2" t="str">
        <f t="shared" si="3"/>
        <v>PASS</v>
      </c>
      <c r="AV233" s="1"/>
      <c r="AW233" s="1"/>
      <c r="AX233" s="1"/>
    </row>
    <row r="234" spans="1:50">
      <c r="A234" s="1" t="s">
        <v>260</v>
      </c>
      <c r="B234" s="1" t="s">
        <v>24</v>
      </c>
      <c r="C234" s="2">
        <v>46258.444201701386</v>
      </c>
      <c r="D234" s="2">
        <v>45142.06843013889</v>
      </c>
      <c r="E234" s="2">
        <v>46258.385558668982</v>
      </c>
      <c r="F234" s="1" t="s">
        <v>602</v>
      </c>
      <c r="G234" s="1" t="s">
        <v>25</v>
      </c>
      <c r="H234" s="3">
        <v>45141</v>
      </c>
      <c r="I234" s="1">
        <v>3820.2849999999999</v>
      </c>
      <c r="J234" s="1">
        <v>5130</v>
      </c>
      <c r="K234" s="1">
        <v>1309.7149999999997</v>
      </c>
      <c r="L234" s="1">
        <v>2675.7</v>
      </c>
      <c r="M234" s="1">
        <v>2700</v>
      </c>
      <c r="N234" s="1">
        <v>24.300000000000185</v>
      </c>
      <c r="O234" s="1">
        <v>105</v>
      </c>
      <c r="P234" s="1">
        <v>1150</v>
      </c>
      <c r="Q234" s="1">
        <v>1045</v>
      </c>
      <c r="R234" s="1">
        <v>3571.6666666666665</v>
      </c>
      <c r="S234" s="1">
        <v>4670</v>
      </c>
      <c r="T234" s="1">
        <v>1098.3333333333337</v>
      </c>
      <c r="U234" s="1">
        <v>2316.6666666666665</v>
      </c>
      <c r="V234" s="1">
        <v>13650</v>
      </c>
      <c r="W234" s="1">
        <v>3477.3483333333338</v>
      </c>
      <c r="X234" s="1">
        <v>1160.6816666666668</v>
      </c>
      <c r="AB234" s="2" t="str">
        <f t="shared" si="3"/>
        <v>PASS</v>
      </c>
      <c r="AV234" s="1"/>
      <c r="AW234" s="1"/>
      <c r="AX234" s="1"/>
    </row>
    <row r="235" spans="1:50">
      <c r="A235" s="1" t="s">
        <v>261</v>
      </c>
      <c r="B235" s="1" t="s">
        <v>24</v>
      </c>
      <c r="C235" s="2">
        <v>46258.444203923609</v>
      </c>
      <c r="D235" s="2">
        <v>45143.597884039351</v>
      </c>
      <c r="E235" s="2">
        <v>46258.38555885417</v>
      </c>
      <c r="F235" s="1" t="s">
        <v>602</v>
      </c>
      <c r="G235" s="1" t="s">
        <v>25</v>
      </c>
      <c r="H235" s="3">
        <v>45142</v>
      </c>
      <c r="I235" s="1">
        <v>5945.9699999999984</v>
      </c>
      <c r="J235" s="1">
        <v>11460</v>
      </c>
      <c r="K235" s="1">
        <v>5514.0300000000016</v>
      </c>
      <c r="L235" s="1">
        <v>4639.1250000000009</v>
      </c>
      <c r="M235" s="1">
        <v>7800</v>
      </c>
      <c r="N235" s="1">
        <v>3160.8749999999991</v>
      </c>
      <c r="O235" s="1">
        <v>210</v>
      </c>
      <c r="P235" s="1">
        <v>2050</v>
      </c>
      <c r="Q235" s="1">
        <v>1840</v>
      </c>
      <c r="R235" s="1">
        <v>3417.4999999999995</v>
      </c>
      <c r="S235" s="1">
        <v>4390</v>
      </c>
      <c r="T235" s="1">
        <v>972.50000000000045</v>
      </c>
      <c r="U235" s="1">
        <v>2316.6666666666665</v>
      </c>
      <c r="V235" s="1">
        <v>25700</v>
      </c>
      <c r="W235" s="1">
        <v>11487.405000000001</v>
      </c>
      <c r="X235" s="1">
        <v>9170.7383333333346</v>
      </c>
      <c r="AB235" s="2" t="str">
        <f t="shared" si="3"/>
        <v>PASS</v>
      </c>
      <c r="AV235" s="1"/>
      <c r="AW235" s="1"/>
      <c r="AX235" s="1"/>
    </row>
    <row r="236" spans="1:50">
      <c r="A236" s="1" t="s">
        <v>262</v>
      </c>
      <c r="B236" s="1" t="s">
        <v>24</v>
      </c>
      <c r="C236" s="2">
        <v>46258.444205497683</v>
      </c>
      <c r="D236" s="2">
        <v>45144.068504664348</v>
      </c>
      <c r="E236" s="2">
        <v>46258.385558935188</v>
      </c>
      <c r="F236" s="1" t="s">
        <v>602</v>
      </c>
      <c r="G236" s="1" t="s">
        <v>25</v>
      </c>
      <c r="H236" s="3">
        <v>45143</v>
      </c>
      <c r="I236" s="1">
        <v>5388.7699999999986</v>
      </c>
      <c r="J236" s="1">
        <v>8850</v>
      </c>
      <c r="K236" s="1">
        <v>3461.2300000000014</v>
      </c>
      <c r="L236" s="1">
        <v>2556.4499999999998</v>
      </c>
      <c r="M236" s="1">
        <v>3600</v>
      </c>
      <c r="N236" s="1">
        <v>1043.5500000000002</v>
      </c>
      <c r="O236" s="1">
        <v>105</v>
      </c>
      <c r="P236" s="1">
        <v>900</v>
      </c>
      <c r="Q236" s="1">
        <v>795</v>
      </c>
      <c r="R236" s="1">
        <v>4547.5</v>
      </c>
      <c r="S236" s="1">
        <v>5990</v>
      </c>
      <c r="T236" s="1">
        <v>1442.5</v>
      </c>
      <c r="U236" s="1">
        <v>2316.6666666666665</v>
      </c>
      <c r="V236" s="1">
        <v>19340</v>
      </c>
      <c r="W236" s="1">
        <v>6742.2800000000016</v>
      </c>
      <c r="X236" s="1">
        <v>4425.6133333333346</v>
      </c>
      <c r="AB236" s="2" t="str">
        <f t="shared" si="3"/>
        <v>PASS</v>
      </c>
      <c r="AV236" s="1"/>
      <c r="AW236" s="1"/>
      <c r="AX236" s="1"/>
    </row>
    <row r="237" spans="1:50">
      <c r="A237" s="1" t="s">
        <v>263</v>
      </c>
      <c r="B237" s="1" t="s">
        <v>24</v>
      </c>
      <c r="C237" s="2">
        <v>46258.444207129629</v>
      </c>
      <c r="D237" s="2">
        <v>45145.051768252313</v>
      </c>
      <c r="E237" s="2">
        <v>46258.38555900463</v>
      </c>
      <c r="F237" s="1" t="s">
        <v>602</v>
      </c>
      <c r="G237" s="1" t="s">
        <v>25</v>
      </c>
      <c r="H237" s="3">
        <v>45144</v>
      </c>
      <c r="I237" s="1">
        <v>6778.8249999999989</v>
      </c>
      <c r="J237" s="1">
        <v>9910</v>
      </c>
      <c r="K237" s="1">
        <v>3131.1750000000011</v>
      </c>
      <c r="L237" s="1">
        <v>1810.4749999999999</v>
      </c>
      <c r="M237" s="1">
        <v>2400</v>
      </c>
      <c r="N237" s="1">
        <v>589.52500000000009</v>
      </c>
      <c r="O237" s="1">
        <v>35</v>
      </c>
      <c r="P237" s="1">
        <v>300</v>
      </c>
      <c r="Q237" s="1">
        <v>265</v>
      </c>
      <c r="R237" s="1">
        <v>3127.4999999999995</v>
      </c>
      <c r="S237" s="1">
        <v>4190</v>
      </c>
      <c r="T237" s="1">
        <v>1062.5000000000005</v>
      </c>
      <c r="U237" s="1">
        <v>2316.6666666666665</v>
      </c>
      <c r="V237" s="1">
        <v>16800</v>
      </c>
      <c r="W237" s="1">
        <v>5048.2000000000016</v>
      </c>
      <c r="X237" s="1">
        <v>2731.5333333333351</v>
      </c>
      <c r="AB237" s="2" t="str">
        <f t="shared" si="3"/>
        <v>PASS</v>
      </c>
      <c r="AV237" s="1"/>
      <c r="AW237" s="1"/>
      <c r="AX237" s="1"/>
    </row>
    <row r="238" spans="1:50">
      <c r="A238" s="1" t="s">
        <v>264</v>
      </c>
      <c r="B238" s="1" t="s">
        <v>24</v>
      </c>
      <c r="C238" s="2">
        <v>46258.444208611108</v>
      </c>
      <c r="D238" s="2">
        <v>45146.049944791666</v>
      </c>
      <c r="E238" s="2">
        <v>46258.385559097223</v>
      </c>
      <c r="F238" s="1" t="s">
        <v>602</v>
      </c>
      <c r="G238" s="1" t="s">
        <v>25</v>
      </c>
      <c r="H238" s="3">
        <v>45145</v>
      </c>
      <c r="I238" s="1">
        <v>6108.8050000000003</v>
      </c>
      <c r="J238" s="1">
        <v>5760</v>
      </c>
      <c r="K238" s="1">
        <v>-348.80500000000029</v>
      </c>
      <c r="L238" s="1">
        <v>4392.4000000000005</v>
      </c>
      <c r="M238" s="1">
        <v>7800</v>
      </c>
      <c r="N238" s="1">
        <v>3407.5999999999995</v>
      </c>
      <c r="O238" s="1">
        <v>356.86</v>
      </c>
      <c r="P238" s="1">
        <v>1950</v>
      </c>
      <c r="Q238" s="1">
        <v>1593.1399999999999</v>
      </c>
      <c r="R238" s="1">
        <v>4403.333333333333</v>
      </c>
      <c r="S238" s="1">
        <v>5710</v>
      </c>
      <c r="T238" s="1">
        <v>1306.666666666667</v>
      </c>
      <c r="U238" s="1">
        <v>2316.6666666666665</v>
      </c>
      <c r="V238" s="1">
        <v>21220</v>
      </c>
      <c r="W238" s="1">
        <v>5958.6016666666665</v>
      </c>
      <c r="X238" s="1">
        <v>3641.9349999999999</v>
      </c>
      <c r="AB238" s="2" t="str">
        <f t="shared" si="3"/>
        <v>PASS</v>
      </c>
      <c r="AV238" s="1"/>
      <c r="AW238" s="1"/>
      <c r="AX238" s="1"/>
    </row>
    <row r="239" spans="1:50">
      <c r="A239" s="1" t="s">
        <v>265</v>
      </c>
      <c r="B239" s="1" t="s">
        <v>24</v>
      </c>
      <c r="C239" s="2">
        <v>46258.444210358793</v>
      </c>
      <c r="D239" s="2">
        <v>45147.055700787037</v>
      </c>
      <c r="E239" s="2">
        <v>46258.385559178241</v>
      </c>
      <c r="F239" s="1" t="s">
        <v>602</v>
      </c>
      <c r="G239" s="1" t="s">
        <v>25</v>
      </c>
      <c r="H239" s="3">
        <v>45146</v>
      </c>
      <c r="I239" s="1">
        <v>5766.3050000000012</v>
      </c>
      <c r="J239" s="1">
        <v>9030</v>
      </c>
      <c r="K239" s="1">
        <v>3263.6949999999988</v>
      </c>
      <c r="L239" s="1">
        <v>1588.5250000000003</v>
      </c>
      <c r="M239" s="1">
        <v>1400</v>
      </c>
      <c r="N239" s="1">
        <v>-188.52500000000032</v>
      </c>
      <c r="O239" s="1">
        <v>128</v>
      </c>
      <c r="P239" s="1">
        <v>1250</v>
      </c>
      <c r="Q239" s="1">
        <v>1122</v>
      </c>
      <c r="R239" s="1">
        <v>3000.8333333333335</v>
      </c>
      <c r="S239" s="1">
        <v>3960</v>
      </c>
      <c r="T239" s="1">
        <v>959.16666666666652</v>
      </c>
      <c r="U239" s="1">
        <v>2316.6666666666665</v>
      </c>
      <c r="V239" s="1">
        <v>15640</v>
      </c>
      <c r="W239" s="1">
        <v>5156.3366666666643</v>
      </c>
      <c r="X239" s="1">
        <v>2839.6699999999978</v>
      </c>
      <c r="AB239" s="2" t="str">
        <f t="shared" si="3"/>
        <v>PASS</v>
      </c>
      <c r="AV239" s="1"/>
      <c r="AW239" s="1"/>
      <c r="AX239" s="1"/>
    </row>
    <row r="240" spans="1:50">
      <c r="A240" s="1" t="s">
        <v>266</v>
      </c>
      <c r="B240" s="1" t="s">
        <v>24</v>
      </c>
      <c r="C240" s="2">
        <v>46258.444212164351</v>
      </c>
      <c r="D240" s="2">
        <v>46256.368334178238</v>
      </c>
      <c r="E240" s="2">
        <v>46258.385559259259</v>
      </c>
      <c r="F240" s="1" t="s">
        <v>602</v>
      </c>
      <c r="G240" s="1" t="s">
        <v>25</v>
      </c>
      <c r="H240" s="3">
        <v>45147</v>
      </c>
      <c r="I240" s="1">
        <v>5715.8189999999995</v>
      </c>
      <c r="J240" s="1">
        <v>8860</v>
      </c>
      <c r="K240" s="1">
        <v>3144.1810000000005</v>
      </c>
      <c r="L240" s="1">
        <v>1919.45</v>
      </c>
      <c r="M240" s="1">
        <v>1700</v>
      </c>
      <c r="N240" s="1">
        <v>-219.44999999999985</v>
      </c>
      <c r="O240" s="1">
        <v>70</v>
      </c>
      <c r="P240" s="1">
        <v>600</v>
      </c>
      <c r="Q240" s="1">
        <v>530</v>
      </c>
      <c r="R240" s="1">
        <v>3862.4999999999991</v>
      </c>
      <c r="S240" s="1">
        <v>5140</v>
      </c>
      <c r="T240" s="1">
        <v>1277.5000000000005</v>
      </c>
      <c r="U240" s="1">
        <v>2316.6666666666665</v>
      </c>
      <c r="V240" s="1">
        <v>16300</v>
      </c>
      <c r="W240" s="1">
        <v>4732.2310000000016</v>
      </c>
      <c r="X240" s="1">
        <v>2415.5643333333351</v>
      </c>
      <c r="AB240" s="2" t="str">
        <f t="shared" si="3"/>
        <v>PASS</v>
      </c>
      <c r="AV240" s="1"/>
      <c r="AW240" s="1"/>
      <c r="AX240" s="1"/>
    </row>
    <row r="241" spans="1:50">
      <c r="A241" s="1" t="s">
        <v>267</v>
      </c>
      <c r="B241" s="1" t="s">
        <v>24</v>
      </c>
      <c r="C241" s="2">
        <v>46258.444213773146</v>
      </c>
      <c r="D241" s="2">
        <v>45149.060509097224</v>
      </c>
      <c r="E241" s="2">
        <v>46258.385559560185</v>
      </c>
      <c r="F241" s="1" t="s">
        <v>602</v>
      </c>
      <c r="G241" s="1" t="s">
        <v>25</v>
      </c>
      <c r="H241" s="3">
        <v>45148</v>
      </c>
      <c r="I241" s="1">
        <v>4992.3960000000006</v>
      </c>
      <c r="J241" s="1">
        <v>5740</v>
      </c>
      <c r="K241" s="1">
        <v>747.60399999999936</v>
      </c>
      <c r="L241" s="1">
        <v>1950.8050000000001</v>
      </c>
      <c r="M241" s="1">
        <v>2300</v>
      </c>
      <c r="N241" s="1">
        <v>349.19499999999994</v>
      </c>
      <c r="O241" s="1">
        <v>105</v>
      </c>
      <c r="P241" s="1">
        <v>1150</v>
      </c>
      <c r="Q241" s="1">
        <v>1045</v>
      </c>
      <c r="R241" s="1">
        <v>2878.3333333333339</v>
      </c>
      <c r="S241" s="1">
        <v>3840</v>
      </c>
      <c r="T241" s="1">
        <v>961.66666666666606</v>
      </c>
      <c r="U241" s="1">
        <v>2316.6666666666665</v>
      </c>
      <c r="V241" s="1">
        <v>13030</v>
      </c>
      <c r="W241" s="1">
        <v>3103.4656666666651</v>
      </c>
      <c r="X241" s="1">
        <v>786.79899999999861</v>
      </c>
      <c r="AB241" s="2" t="str">
        <f t="shared" si="3"/>
        <v>PASS</v>
      </c>
      <c r="AV241" s="1"/>
      <c r="AW241" s="1"/>
      <c r="AX241" s="1"/>
    </row>
    <row r="242" spans="1:50">
      <c r="A242" s="1" t="s">
        <v>268</v>
      </c>
      <c r="B242" s="1" t="s">
        <v>24</v>
      </c>
      <c r="C242" s="2">
        <v>46258.444215509262</v>
      </c>
      <c r="D242" s="2">
        <v>46256.372208287037</v>
      </c>
      <c r="E242" s="2">
        <v>46258.385559826391</v>
      </c>
      <c r="F242" s="1" t="s">
        <v>602</v>
      </c>
      <c r="G242" s="1" t="s">
        <v>25</v>
      </c>
      <c r="H242" s="3">
        <v>45149</v>
      </c>
      <c r="I242" s="1">
        <v>5084.1449999999995</v>
      </c>
      <c r="J242" s="1">
        <v>10350</v>
      </c>
      <c r="K242" s="1">
        <v>5265.8550000000005</v>
      </c>
      <c r="L242" s="1">
        <v>1609.5750000000005</v>
      </c>
      <c r="M242" s="1">
        <v>2300</v>
      </c>
      <c r="N242" s="1">
        <v>690.42499999999973</v>
      </c>
      <c r="O242" s="1">
        <v>0</v>
      </c>
      <c r="P242" s="1">
        <v>0</v>
      </c>
      <c r="Q242" s="1">
        <v>0</v>
      </c>
      <c r="R242" s="1">
        <v>2078.3333333333335</v>
      </c>
      <c r="S242" s="1">
        <v>2920</v>
      </c>
      <c r="T242" s="1">
        <v>841.66666666666652</v>
      </c>
      <c r="U242" s="1">
        <v>2316.6666666666665</v>
      </c>
      <c r="V242" s="1">
        <v>15570</v>
      </c>
      <c r="W242" s="1">
        <v>6797.9466666666667</v>
      </c>
      <c r="X242" s="1">
        <v>4481.2800000000007</v>
      </c>
      <c r="AB242" s="2" t="str">
        <f t="shared" si="3"/>
        <v>PASS</v>
      </c>
      <c r="AV242" s="1"/>
      <c r="AW242" s="1"/>
      <c r="AX242" s="1"/>
    </row>
    <row r="243" spans="1:50">
      <c r="A243" s="1" t="s">
        <v>269</v>
      </c>
      <c r="B243" s="1" t="s">
        <v>24</v>
      </c>
      <c r="C243" s="2">
        <v>46258.444216956021</v>
      </c>
      <c r="D243" s="2">
        <v>46256.368519710646</v>
      </c>
      <c r="E243" s="2">
        <v>46258.385560092589</v>
      </c>
      <c r="F243" s="1" t="s">
        <v>602</v>
      </c>
      <c r="G243" s="1" t="s">
        <v>25</v>
      </c>
      <c r="H243" s="3">
        <v>45150</v>
      </c>
      <c r="I243" s="1">
        <v>5927.329999999999</v>
      </c>
      <c r="J243" s="1">
        <v>6990</v>
      </c>
      <c r="K243" s="1">
        <v>1062.670000000001</v>
      </c>
      <c r="L243" s="1">
        <v>1926.925</v>
      </c>
      <c r="M243" s="1">
        <v>2100</v>
      </c>
      <c r="N243" s="1">
        <v>173.07500000000005</v>
      </c>
      <c r="O243" s="1">
        <v>70</v>
      </c>
      <c r="P243" s="1">
        <v>300</v>
      </c>
      <c r="Q243" s="1">
        <v>230</v>
      </c>
      <c r="R243" s="1">
        <v>3352.5</v>
      </c>
      <c r="S243" s="1">
        <v>3830</v>
      </c>
      <c r="T243" s="1">
        <v>477.5</v>
      </c>
      <c r="U243" s="1">
        <v>2316.6666666666665</v>
      </c>
      <c r="V243" s="1">
        <v>13220</v>
      </c>
      <c r="W243" s="1">
        <v>1943.245000000001</v>
      </c>
      <c r="X243" s="1">
        <v>-373.42166666666554</v>
      </c>
      <c r="AB243" s="2" t="str">
        <f t="shared" si="3"/>
        <v>PASS</v>
      </c>
      <c r="AV243" s="1"/>
      <c r="AW243" s="1"/>
      <c r="AX243" s="1"/>
    </row>
    <row r="244" spans="1:50">
      <c r="A244" s="1" t="s">
        <v>270</v>
      </c>
      <c r="B244" s="1" t="s">
        <v>24</v>
      </c>
      <c r="C244" s="2">
        <v>46258.444218726851</v>
      </c>
      <c r="D244" s="2">
        <v>45152.120213148148</v>
      </c>
      <c r="E244" s="2">
        <v>46258.385560497685</v>
      </c>
      <c r="F244" s="1" t="s">
        <v>602</v>
      </c>
      <c r="G244" s="1" t="s">
        <v>25</v>
      </c>
      <c r="H244" s="3">
        <v>45151</v>
      </c>
      <c r="I244" s="1">
        <v>5174.9100000000026</v>
      </c>
      <c r="J244" s="1">
        <v>6900</v>
      </c>
      <c r="K244" s="1">
        <v>1725.0899999999974</v>
      </c>
      <c r="L244" s="1">
        <v>4036.32</v>
      </c>
      <c r="M244" s="1">
        <v>6300</v>
      </c>
      <c r="N244" s="1">
        <v>2263.6800000000003</v>
      </c>
      <c r="O244" s="1">
        <v>186</v>
      </c>
      <c r="P244" s="1">
        <v>1900</v>
      </c>
      <c r="Q244" s="1">
        <v>1714</v>
      </c>
      <c r="R244" s="1">
        <v>3346.6666666666665</v>
      </c>
      <c r="S244" s="1">
        <v>4600</v>
      </c>
      <c r="T244" s="1">
        <v>1253.3333333333337</v>
      </c>
      <c r="U244" s="1">
        <v>2316.6666666666665</v>
      </c>
      <c r="V244" s="1">
        <v>19700</v>
      </c>
      <c r="W244" s="1">
        <v>6956.1033333333307</v>
      </c>
      <c r="X244" s="1">
        <v>4639.4366666666647</v>
      </c>
      <c r="AB244" s="2" t="str">
        <f t="shared" si="3"/>
        <v>PASS</v>
      </c>
      <c r="AV244" s="1"/>
      <c r="AW244" s="1"/>
      <c r="AX244" s="1"/>
    </row>
    <row r="245" spans="1:50">
      <c r="A245" s="1" t="s">
        <v>271</v>
      </c>
      <c r="B245" s="1" t="s">
        <v>24</v>
      </c>
      <c r="C245" s="2">
        <v>46258.444220335645</v>
      </c>
      <c r="D245" s="2">
        <v>45153.104728599537</v>
      </c>
      <c r="E245" s="2">
        <v>46258.385560590279</v>
      </c>
      <c r="F245" s="1" t="s">
        <v>602</v>
      </c>
      <c r="G245" s="1" t="s">
        <v>25</v>
      </c>
      <c r="H245" s="3">
        <v>45152</v>
      </c>
      <c r="I245" s="1">
        <v>8852.2199999999975</v>
      </c>
      <c r="J245" s="1">
        <v>10750</v>
      </c>
      <c r="K245" s="1">
        <v>1897.7800000000025</v>
      </c>
      <c r="L245" s="1">
        <v>4534.76</v>
      </c>
      <c r="M245" s="1">
        <v>6500</v>
      </c>
      <c r="N245" s="1">
        <v>1965.24</v>
      </c>
      <c r="O245" s="1">
        <v>46</v>
      </c>
      <c r="P245" s="1">
        <v>700</v>
      </c>
      <c r="Q245" s="1">
        <v>654</v>
      </c>
      <c r="R245" s="1">
        <v>2179.1666666666665</v>
      </c>
      <c r="S245" s="1">
        <v>3000</v>
      </c>
      <c r="T245" s="1">
        <v>820.83333333333348</v>
      </c>
      <c r="U245" s="1">
        <v>2316.6666666666665</v>
      </c>
      <c r="V245" s="1">
        <v>20950</v>
      </c>
      <c r="W245" s="1">
        <v>5337.8533333333362</v>
      </c>
      <c r="X245" s="1">
        <v>3021.1866666666697</v>
      </c>
      <c r="AB245" s="2" t="str">
        <f t="shared" si="3"/>
        <v>PASS</v>
      </c>
      <c r="AV245" s="1"/>
      <c r="AW245" s="1"/>
      <c r="AX245" s="1"/>
    </row>
    <row r="246" spans="1:50">
      <c r="A246" s="1" t="s">
        <v>272</v>
      </c>
      <c r="B246" s="1" t="s">
        <v>24</v>
      </c>
      <c r="C246" s="2">
        <v>46258.444222048609</v>
      </c>
      <c r="D246" s="2">
        <v>45154.068416493057</v>
      </c>
      <c r="E246" s="2">
        <v>46258.385560659721</v>
      </c>
      <c r="F246" s="1" t="s">
        <v>602</v>
      </c>
      <c r="G246" s="1" t="s">
        <v>25</v>
      </c>
      <c r="H246" s="3">
        <v>45153</v>
      </c>
      <c r="I246" s="1">
        <v>5198.2400000000007</v>
      </c>
      <c r="J246" s="1">
        <v>8680</v>
      </c>
      <c r="K246" s="1">
        <v>3481.7599999999993</v>
      </c>
      <c r="L246" s="1">
        <v>1710.2250000000004</v>
      </c>
      <c r="M246" s="1">
        <v>1700</v>
      </c>
      <c r="N246" s="1">
        <v>-10.225000000000364</v>
      </c>
      <c r="O246" s="1">
        <v>35</v>
      </c>
      <c r="P246" s="1">
        <v>550</v>
      </c>
      <c r="Q246" s="1">
        <v>515</v>
      </c>
      <c r="R246" s="1">
        <v>2376.6666666666665</v>
      </c>
      <c r="S246" s="1">
        <v>3280</v>
      </c>
      <c r="T246" s="1">
        <v>903.33333333333348</v>
      </c>
      <c r="U246" s="1">
        <v>2316.6666666666665</v>
      </c>
      <c r="V246" s="1">
        <v>14210</v>
      </c>
      <c r="W246" s="1">
        <v>4889.868333333332</v>
      </c>
      <c r="X246" s="1">
        <v>2573.2016666666655</v>
      </c>
      <c r="AB246" s="2" t="str">
        <f t="shared" si="3"/>
        <v>PASS</v>
      </c>
      <c r="AV246" s="1"/>
      <c r="AW246" s="1"/>
      <c r="AX246" s="1"/>
    </row>
    <row r="247" spans="1:50">
      <c r="A247" s="1" t="s">
        <v>273</v>
      </c>
      <c r="B247" s="1" t="s">
        <v>24</v>
      </c>
      <c r="C247" s="2">
        <v>46258.444223472223</v>
      </c>
      <c r="D247" s="2">
        <v>45155.052250914348</v>
      </c>
      <c r="E247" s="2">
        <v>46258.38556072917</v>
      </c>
      <c r="F247" s="1" t="s">
        <v>602</v>
      </c>
      <c r="G247" s="1" t="s">
        <v>25</v>
      </c>
      <c r="H247" s="3">
        <v>45154</v>
      </c>
      <c r="I247" s="1">
        <v>6455.53</v>
      </c>
      <c r="J247" s="1">
        <v>9440</v>
      </c>
      <c r="K247" s="1">
        <v>2984.4700000000003</v>
      </c>
      <c r="L247" s="1">
        <v>3992.4749999999999</v>
      </c>
      <c r="M247" s="1">
        <v>4100</v>
      </c>
      <c r="N247" s="1">
        <v>107.52500000000008</v>
      </c>
      <c r="O247" s="1">
        <v>232</v>
      </c>
      <c r="P247" s="1">
        <v>2600</v>
      </c>
      <c r="Q247" s="1">
        <v>2368</v>
      </c>
      <c r="R247" s="1">
        <v>4180</v>
      </c>
      <c r="S247" s="1">
        <v>5180</v>
      </c>
      <c r="T247" s="1">
        <v>1000</v>
      </c>
      <c r="U247" s="1">
        <v>2316.6666666666665</v>
      </c>
      <c r="V247" s="1">
        <v>21320</v>
      </c>
      <c r="W247" s="1">
        <v>6459.9950000000008</v>
      </c>
      <c r="X247" s="1">
        <v>4143.3283333333347</v>
      </c>
      <c r="AB247" s="2" t="str">
        <f t="shared" si="3"/>
        <v>PASS</v>
      </c>
      <c r="AV247" s="1"/>
      <c r="AW247" s="1"/>
      <c r="AX247" s="1"/>
    </row>
    <row r="248" spans="1:50">
      <c r="A248" s="1" t="s">
        <v>274</v>
      </c>
      <c r="B248" s="1" t="s">
        <v>24</v>
      </c>
      <c r="C248" s="2">
        <v>46258.444225092593</v>
      </c>
      <c r="D248" s="2">
        <v>45156.03712854167</v>
      </c>
      <c r="E248" s="2">
        <v>46258.385560960647</v>
      </c>
      <c r="F248" s="1" t="s">
        <v>602</v>
      </c>
      <c r="G248" s="1" t="s">
        <v>25</v>
      </c>
      <c r="H248" s="3">
        <v>45155</v>
      </c>
      <c r="I248" s="1">
        <v>6074.6090000000004</v>
      </c>
      <c r="J248" s="1">
        <v>9290</v>
      </c>
      <c r="K248" s="1">
        <v>3215.3909999999996</v>
      </c>
      <c r="L248" s="1">
        <v>3482.28</v>
      </c>
      <c r="M248" s="1">
        <v>5970</v>
      </c>
      <c r="N248" s="1">
        <v>2487.7199999999998</v>
      </c>
      <c r="O248" s="1">
        <v>0</v>
      </c>
      <c r="P248" s="1">
        <v>0</v>
      </c>
      <c r="Q248" s="1">
        <v>0</v>
      </c>
      <c r="R248" s="1">
        <v>2018.3333333333337</v>
      </c>
      <c r="S248" s="1">
        <v>2520</v>
      </c>
      <c r="T248" s="1">
        <v>501.66666666666657</v>
      </c>
      <c r="U248" s="1">
        <v>2150</v>
      </c>
      <c r="V248" s="1">
        <v>17780</v>
      </c>
      <c r="W248" s="1">
        <v>6204.777666666665</v>
      </c>
      <c r="X248" s="1">
        <v>4054.777666666665</v>
      </c>
      <c r="AB248" s="2" t="str">
        <f t="shared" si="3"/>
        <v>PASS</v>
      </c>
      <c r="AV248" s="1"/>
      <c r="AW248" s="1"/>
      <c r="AX248" s="1"/>
    </row>
    <row r="249" spans="1:50">
      <c r="A249" s="1" t="s">
        <v>275</v>
      </c>
      <c r="B249" s="1" t="s">
        <v>24</v>
      </c>
      <c r="C249" s="2">
        <v>46258.444226296298</v>
      </c>
      <c r="D249" s="2">
        <v>45157.151803796296</v>
      </c>
      <c r="E249" s="2">
        <v>46258.385561041665</v>
      </c>
      <c r="F249" s="1" t="s">
        <v>602</v>
      </c>
      <c r="G249" s="1" t="s">
        <v>25</v>
      </c>
      <c r="H249" s="3">
        <v>45156</v>
      </c>
      <c r="I249" s="1">
        <v>5398.5309999999999</v>
      </c>
      <c r="J249" s="1">
        <v>7120</v>
      </c>
      <c r="K249" s="1">
        <v>1721.4690000000001</v>
      </c>
      <c r="L249" s="1">
        <v>2871.7799999999993</v>
      </c>
      <c r="M249" s="1">
        <v>4670</v>
      </c>
      <c r="N249" s="1">
        <v>1798.2200000000007</v>
      </c>
      <c r="O249" s="1">
        <v>40.938000000000002</v>
      </c>
      <c r="P249" s="1">
        <v>550</v>
      </c>
      <c r="Q249" s="1">
        <v>509.06200000000001</v>
      </c>
      <c r="R249" s="1">
        <v>3458.333333333333</v>
      </c>
      <c r="S249" s="1">
        <v>4310</v>
      </c>
      <c r="T249" s="1">
        <v>851.66666666666708</v>
      </c>
      <c r="U249" s="1">
        <v>2150</v>
      </c>
      <c r="V249" s="1">
        <v>16650</v>
      </c>
      <c r="W249" s="1">
        <v>4880.4176666666681</v>
      </c>
      <c r="X249" s="1">
        <v>2730.4176666666681</v>
      </c>
      <c r="AB249" s="2" t="str">
        <f t="shared" si="3"/>
        <v>PASS</v>
      </c>
      <c r="AV249" s="1"/>
      <c r="AW249" s="1"/>
      <c r="AX249" s="1"/>
    </row>
    <row r="250" spans="1:50">
      <c r="A250" s="1" t="s">
        <v>276</v>
      </c>
      <c r="B250" s="1" t="s">
        <v>24</v>
      </c>
      <c r="C250" s="2">
        <v>46258.444228055552</v>
      </c>
      <c r="D250" s="2">
        <v>45158.127471296299</v>
      </c>
      <c r="E250" s="2">
        <v>46258.385561134259</v>
      </c>
      <c r="F250" s="1" t="s">
        <v>602</v>
      </c>
      <c r="G250" s="1" t="s">
        <v>25</v>
      </c>
      <c r="H250" s="3">
        <v>45157</v>
      </c>
      <c r="I250" s="1">
        <v>6037.5800000000017</v>
      </c>
      <c r="J250" s="1">
        <v>9500</v>
      </c>
      <c r="K250" s="1">
        <v>3462.4199999999983</v>
      </c>
      <c r="L250" s="1">
        <v>3243.13</v>
      </c>
      <c r="M250" s="1">
        <v>7000</v>
      </c>
      <c r="N250" s="1">
        <v>3756.87</v>
      </c>
      <c r="O250" s="1">
        <v>23.033750000000001</v>
      </c>
      <c r="P250" s="1">
        <v>350</v>
      </c>
      <c r="Q250" s="1">
        <v>326.96625</v>
      </c>
      <c r="R250" s="1">
        <v>3863.333333333333</v>
      </c>
      <c r="S250" s="1">
        <v>4840</v>
      </c>
      <c r="T250" s="1">
        <v>976.66666666666708</v>
      </c>
      <c r="U250" s="1">
        <v>2150</v>
      </c>
      <c r="V250" s="1">
        <v>21690</v>
      </c>
      <c r="W250" s="1">
        <v>8522.9229166666664</v>
      </c>
      <c r="X250" s="1">
        <v>6372.9229166666664</v>
      </c>
      <c r="AB250" s="2" t="str">
        <f t="shared" si="3"/>
        <v>PASS</v>
      </c>
      <c r="AV250" s="1"/>
      <c r="AW250" s="1"/>
      <c r="AX250" s="1"/>
    </row>
    <row r="251" spans="1:50">
      <c r="A251" s="1" t="s">
        <v>277</v>
      </c>
      <c r="B251" s="1" t="s">
        <v>24</v>
      </c>
      <c r="C251" s="2">
        <v>46258.444229351851</v>
      </c>
      <c r="D251" s="2">
        <v>45159.121278402781</v>
      </c>
      <c r="E251" s="2">
        <v>46258.385561215277</v>
      </c>
      <c r="F251" s="1" t="s">
        <v>602</v>
      </c>
      <c r="G251" s="1" t="s">
        <v>25</v>
      </c>
      <c r="H251" s="3">
        <v>45158</v>
      </c>
      <c r="I251" s="1">
        <v>6215.5949999999984</v>
      </c>
      <c r="J251" s="1">
        <v>3500</v>
      </c>
      <c r="K251" s="1">
        <v>-2715.5949999999984</v>
      </c>
      <c r="L251" s="1">
        <v>5289.4599999999982</v>
      </c>
      <c r="M251" s="1">
        <v>8740</v>
      </c>
      <c r="N251" s="1">
        <v>3450.5400000000018</v>
      </c>
      <c r="O251" s="1">
        <v>103.90525000000004</v>
      </c>
      <c r="P251" s="1">
        <v>1050</v>
      </c>
      <c r="Q251" s="1">
        <v>946.09474999999998</v>
      </c>
      <c r="R251" s="1">
        <v>3511.666666666667</v>
      </c>
      <c r="S251" s="1">
        <v>4410</v>
      </c>
      <c r="T251" s="1">
        <v>898.33333333333292</v>
      </c>
      <c r="U251" s="1">
        <v>2150</v>
      </c>
      <c r="V251" s="1">
        <v>17700</v>
      </c>
      <c r="W251" s="1">
        <v>2579.3730833333366</v>
      </c>
      <c r="X251" s="1">
        <v>429.37308333333658</v>
      </c>
      <c r="AB251" s="2" t="str">
        <f t="shared" si="3"/>
        <v>PASS</v>
      </c>
      <c r="AV251" s="1"/>
      <c r="AW251" s="1"/>
      <c r="AX251" s="1"/>
    </row>
    <row r="252" spans="1:50">
      <c r="A252" s="1" t="s">
        <v>278</v>
      </c>
      <c r="B252" s="1" t="s">
        <v>24</v>
      </c>
      <c r="C252" s="2">
        <v>46258.444231006943</v>
      </c>
      <c r="D252" s="2">
        <v>45160.067513599533</v>
      </c>
      <c r="E252" s="2">
        <v>46258.385561284726</v>
      </c>
      <c r="F252" s="1" t="s">
        <v>602</v>
      </c>
      <c r="G252" s="1" t="s">
        <v>25</v>
      </c>
      <c r="H252" s="3">
        <v>45159</v>
      </c>
      <c r="I252" s="1">
        <v>5295.6200000000008</v>
      </c>
      <c r="J252" s="1">
        <v>7360</v>
      </c>
      <c r="K252" s="1">
        <v>2064.3799999999992</v>
      </c>
      <c r="L252" s="1">
        <v>3641.2750000000001</v>
      </c>
      <c r="M252" s="1">
        <v>5000</v>
      </c>
      <c r="N252" s="1">
        <v>1358.7250000000004</v>
      </c>
      <c r="O252" s="1">
        <v>159.51650000000001</v>
      </c>
      <c r="P252" s="1">
        <v>2000</v>
      </c>
      <c r="Q252" s="1">
        <v>1840.4835</v>
      </c>
      <c r="R252" s="1">
        <v>3340</v>
      </c>
      <c r="S252" s="1">
        <v>4180</v>
      </c>
      <c r="T252" s="1">
        <v>840</v>
      </c>
      <c r="U252" s="1">
        <v>2150</v>
      </c>
      <c r="V252" s="1">
        <v>18540</v>
      </c>
      <c r="W252" s="1">
        <v>6103.5884999999998</v>
      </c>
      <c r="X252" s="1">
        <v>3953.5884999999998</v>
      </c>
      <c r="AB252" s="2" t="str">
        <f t="shared" si="3"/>
        <v>PASS</v>
      </c>
      <c r="AV252" s="1"/>
      <c r="AW252" s="1"/>
      <c r="AX252" s="1"/>
    </row>
    <row r="253" spans="1:50">
      <c r="A253" s="1" t="s">
        <v>279</v>
      </c>
      <c r="B253" s="1" t="s">
        <v>24</v>
      </c>
      <c r="C253" s="2">
        <v>46258.444232789348</v>
      </c>
      <c r="D253" s="2">
        <v>45161.081715763888</v>
      </c>
      <c r="E253" s="2">
        <v>46258.385561377312</v>
      </c>
      <c r="F253" s="1" t="s">
        <v>602</v>
      </c>
      <c r="G253" s="1" t="s">
        <v>25</v>
      </c>
      <c r="H253" s="3">
        <v>45160</v>
      </c>
      <c r="I253" s="1">
        <v>6113.7749999999987</v>
      </c>
      <c r="J253" s="1">
        <v>5780</v>
      </c>
      <c r="K253" s="1">
        <v>-333.77499999999873</v>
      </c>
      <c r="L253" s="1">
        <v>4094.9750000000008</v>
      </c>
      <c r="M253" s="1">
        <v>6000</v>
      </c>
      <c r="N253" s="1">
        <v>1905.0249999999992</v>
      </c>
      <c r="O253" s="1">
        <v>428.97474999999997</v>
      </c>
      <c r="P253" s="1">
        <v>3100</v>
      </c>
      <c r="Q253" s="1">
        <v>2671.0252499999997</v>
      </c>
      <c r="R253" s="1">
        <v>3346.6666666666665</v>
      </c>
      <c r="S253" s="1">
        <v>4200</v>
      </c>
      <c r="T253" s="1">
        <v>853.33333333333348</v>
      </c>
      <c r="U253" s="1">
        <v>2150</v>
      </c>
      <c r="V253" s="1">
        <v>19080</v>
      </c>
      <c r="W253" s="1">
        <v>5095.6085833333345</v>
      </c>
      <c r="X253" s="1">
        <v>2945.6085833333345</v>
      </c>
      <c r="AB253" s="2" t="str">
        <f t="shared" si="3"/>
        <v>PASS</v>
      </c>
      <c r="AV253" s="1"/>
      <c r="AW253" s="1"/>
      <c r="AX253" s="1"/>
    </row>
    <row r="254" spans="1:50">
      <c r="A254" s="1" t="s">
        <v>280</v>
      </c>
      <c r="B254" s="1" t="s">
        <v>24</v>
      </c>
      <c r="C254" s="2">
        <v>46258.444234074072</v>
      </c>
      <c r="D254" s="2">
        <v>45162.187562569445</v>
      </c>
      <c r="E254" s="2">
        <v>46258.385561527779</v>
      </c>
      <c r="F254" s="1" t="s">
        <v>602</v>
      </c>
      <c r="G254" s="1" t="s">
        <v>25</v>
      </c>
      <c r="H254" s="3">
        <v>45161</v>
      </c>
      <c r="I254" s="1">
        <v>4009.43</v>
      </c>
      <c r="J254" s="1">
        <v>6860</v>
      </c>
      <c r="K254" s="1">
        <v>2850.57</v>
      </c>
      <c r="L254" s="1">
        <v>2317.6499999999996</v>
      </c>
      <c r="M254" s="1">
        <v>2500</v>
      </c>
      <c r="N254" s="1">
        <v>182.35000000000036</v>
      </c>
      <c r="O254" s="1">
        <v>-1668.3767500000001</v>
      </c>
      <c r="P254" s="1">
        <v>2350</v>
      </c>
      <c r="Q254" s="1">
        <v>4018.3767500000004</v>
      </c>
      <c r="R254" s="1">
        <v>2063.3333333333335</v>
      </c>
      <c r="S254" s="1">
        <v>2570</v>
      </c>
      <c r="T254" s="1">
        <v>506.66666666666657</v>
      </c>
      <c r="U254" s="1">
        <v>2150</v>
      </c>
      <c r="V254" s="1">
        <v>14280</v>
      </c>
      <c r="W254" s="1">
        <v>7557.9634166666674</v>
      </c>
      <c r="X254" s="1">
        <v>5407.9634166666674</v>
      </c>
      <c r="AB254" s="2" t="str">
        <f t="shared" si="3"/>
        <v>PASS</v>
      </c>
      <c r="AV254" s="1"/>
      <c r="AW254" s="1"/>
      <c r="AX254" s="1"/>
    </row>
    <row r="255" spans="1:50">
      <c r="A255" s="1" t="s">
        <v>281</v>
      </c>
      <c r="B255" s="1" t="s">
        <v>24</v>
      </c>
      <c r="C255" s="2">
        <v>46258.444235995368</v>
      </c>
      <c r="D255" s="2">
        <v>45163.048112951386</v>
      </c>
      <c r="E255" s="2">
        <v>46258.385561608797</v>
      </c>
      <c r="F255" s="1" t="s">
        <v>602</v>
      </c>
      <c r="G255" s="1" t="s">
        <v>25</v>
      </c>
      <c r="H255" s="3">
        <v>45162</v>
      </c>
      <c r="I255" s="1">
        <v>6005.6300000000019</v>
      </c>
      <c r="J255" s="1">
        <v>5400</v>
      </c>
      <c r="K255" s="1">
        <v>-605.63000000000193</v>
      </c>
      <c r="L255" s="1">
        <v>2132.0749999999994</v>
      </c>
      <c r="M255" s="1">
        <v>3400</v>
      </c>
      <c r="N255" s="1">
        <v>1267.9250000000006</v>
      </c>
      <c r="O255" s="1">
        <v>0</v>
      </c>
      <c r="P255" s="1">
        <v>0</v>
      </c>
      <c r="Q255" s="1">
        <v>0</v>
      </c>
      <c r="R255" s="1">
        <v>2580</v>
      </c>
      <c r="S255" s="1">
        <v>3250</v>
      </c>
      <c r="T255" s="1">
        <v>670</v>
      </c>
      <c r="U255" s="1">
        <v>2150</v>
      </c>
      <c r="V255" s="1">
        <v>12050</v>
      </c>
      <c r="W255" s="1">
        <v>1332.2949999999987</v>
      </c>
      <c r="X255" s="1">
        <v>-817.70500000000129</v>
      </c>
      <c r="AB255" s="2" t="str">
        <f t="shared" si="3"/>
        <v>PASS</v>
      </c>
      <c r="AV255" s="1"/>
      <c r="AW255" s="1"/>
      <c r="AX255" s="1"/>
    </row>
    <row r="256" spans="1:50">
      <c r="A256" s="1" t="s">
        <v>282</v>
      </c>
      <c r="B256" s="1" t="s">
        <v>24</v>
      </c>
      <c r="C256" s="2">
        <v>46258.444237465279</v>
      </c>
      <c r="D256" s="2">
        <v>45164.044648726849</v>
      </c>
      <c r="E256" s="2">
        <v>46258.385561701391</v>
      </c>
      <c r="F256" s="1" t="s">
        <v>602</v>
      </c>
      <c r="G256" s="1" t="s">
        <v>25</v>
      </c>
      <c r="H256" s="3">
        <v>45163</v>
      </c>
      <c r="I256" s="1">
        <v>6706.2049999999999</v>
      </c>
      <c r="J256" s="1">
        <v>12000</v>
      </c>
      <c r="K256" s="1">
        <v>5293.7950000000001</v>
      </c>
      <c r="L256" s="1">
        <v>3280.2750000000005</v>
      </c>
      <c r="M256" s="1">
        <v>5800</v>
      </c>
      <c r="N256" s="1">
        <v>2519.7249999999995</v>
      </c>
      <c r="O256" s="1">
        <v>365.63099999999997</v>
      </c>
      <c r="P256" s="1">
        <v>1100</v>
      </c>
      <c r="Q256" s="1">
        <v>734.36900000000003</v>
      </c>
      <c r="R256" s="1">
        <v>3125</v>
      </c>
      <c r="S256" s="1">
        <v>3900</v>
      </c>
      <c r="T256" s="1">
        <v>775</v>
      </c>
      <c r="U256" s="1">
        <v>2150</v>
      </c>
      <c r="V256" s="1">
        <v>22800</v>
      </c>
      <c r="W256" s="1">
        <v>9322.8889999999992</v>
      </c>
      <c r="X256" s="1">
        <v>7172.8889999999992</v>
      </c>
      <c r="AB256" s="2" t="str">
        <f t="shared" si="3"/>
        <v>PASS</v>
      </c>
      <c r="AV256" s="1"/>
      <c r="AW256" s="1"/>
      <c r="AX256" s="1"/>
    </row>
    <row r="257" spans="1:50">
      <c r="A257" s="1" t="s">
        <v>283</v>
      </c>
      <c r="B257" s="1" t="s">
        <v>24</v>
      </c>
      <c r="C257" s="2">
        <v>46258.444239282406</v>
      </c>
      <c r="D257" s="2">
        <v>45165.070578460647</v>
      </c>
      <c r="E257" s="2">
        <v>46258.385561782408</v>
      </c>
      <c r="F257" s="1" t="s">
        <v>602</v>
      </c>
      <c r="G257" s="1" t="s">
        <v>25</v>
      </c>
      <c r="H257" s="3">
        <v>45164</v>
      </c>
      <c r="I257" s="1">
        <v>5924.1350000000002</v>
      </c>
      <c r="J257" s="1">
        <v>7260</v>
      </c>
      <c r="K257" s="1">
        <v>1335.8649999999998</v>
      </c>
      <c r="L257" s="1">
        <v>2983.3250000000003</v>
      </c>
      <c r="M257" s="1">
        <v>4970</v>
      </c>
      <c r="N257" s="1">
        <v>1986.6749999999995</v>
      </c>
      <c r="O257" s="1">
        <v>35</v>
      </c>
      <c r="P257" s="1">
        <v>550</v>
      </c>
      <c r="Q257" s="1">
        <v>515</v>
      </c>
      <c r="R257" s="1">
        <v>3280</v>
      </c>
      <c r="S257" s="1">
        <v>4130</v>
      </c>
      <c r="T257" s="1">
        <v>850</v>
      </c>
      <c r="U257" s="1">
        <v>2150</v>
      </c>
      <c r="V257" s="1">
        <v>16910</v>
      </c>
      <c r="W257" s="1">
        <v>4687.5399999999991</v>
      </c>
      <c r="X257" s="1">
        <v>2537.5399999999991</v>
      </c>
      <c r="AB257" s="2" t="str">
        <f t="shared" si="3"/>
        <v>PASS</v>
      </c>
      <c r="AV257" s="1"/>
      <c r="AW257" s="1"/>
      <c r="AX257" s="1"/>
    </row>
    <row r="258" spans="1:50">
      <c r="A258" s="1" t="s">
        <v>284</v>
      </c>
      <c r="B258" s="1" t="s">
        <v>24</v>
      </c>
      <c r="C258" s="2">
        <v>46258.444240567129</v>
      </c>
      <c r="D258" s="2">
        <v>45166.115115509259</v>
      </c>
      <c r="E258" s="2">
        <v>46258.385561863426</v>
      </c>
      <c r="F258" s="1" t="s">
        <v>602</v>
      </c>
      <c r="G258" s="1" t="s">
        <v>25</v>
      </c>
      <c r="H258" s="3">
        <v>45165</v>
      </c>
      <c r="I258" s="1">
        <v>6028.8849999999993</v>
      </c>
      <c r="J258" s="1">
        <v>6090</v>
      </c>
      <c r="K258" s="1">
        <v>61.115000000000691</v>
      </c>
      <c r="L258" s="1">
        <v>2922.7499999999991</v>
      </c>
      <c r="M258" s="1">
        <v>3600</v>
      </c>
      <c r="N258" s="1">
        <v>677.25000000000091</v>
      </c>
      <c r="O258" s="1">
        <v>1032.7499999999998</v>
      </c>
      <c r="P258" s="1">
        <v>3150</v>
      </c>
      <c r="Q258" s="1">
        <v>2117.25</v>
      </c>
      <c r="R258" s="1">
        <v>4271.6666666666661</v>
      </c>
      <c r="S258" s="1">
        <v>5330</v>
      </c>
      <c r="T258" s="1">
        <v>1058.3333333333339</v>
      </c>
      <c r="U258" s="1">
        <v>2150</v>
      </c>
      <c r="V258" s="1">
        <v>18170</v>
      </c>
      <c r="W258" s="1">
        <v>3913.9483333333351</v>
      </c>
      <c r="X258" s="1">
        <v>1763.9483333333355</v>
      </c>
      <c r="AB258" s="2" t="str">
        <f t="shared" si="3"/>
        <v>PASS</v>
      </c>
      <c r="AV258" s="1"/>
      <c r="AW258" s="1"/>
      <c r="AX258" s="1"/>
    </row>
    <row r="259" spans="1:50">
      <c r="A259" s="1" t="s">
        <v>285</v>
      </c>
      <c r="B259" s="1" t="s">
        <v>24</v>
      </c>
      <c r="C259" s="2">
        <v>46258.444242395832</v>
      </c>
      <c r="D259" s="2">
        <v>45167.07468824074</v>
      </c>
      <c r="E259" s="2">
        <v>46258.385561932868</v>
      </c>
      <c r="F259" s="1" t="s">
        <v>602</v>
      </c>
      <c r="G259" s="1" t="s">
        <v>25</v>
      </c>
      <c r="H259" s="3">
        <v>45166</v>
      </c>
      <c r="I259" s="1">
        <v>7040.6550000000016</v>
      </c>
      <c r="J259" s="1">
        <v>5090</v>
      </c>
      <c r="K259" s="1">
        <v>-1950.6550000000016</v>
      </c>
      <c r="L259" s="1">
        <v>5551.5250000000005</v>
      </c>
      <c r="M259" s="1">
        <v>6560</v>
      </c>
      <c r="N259" s="1">
        <v>1008.4749999999996</v>
      </c>
      <c r="O259" s="1">
        <v>809.32000000000016</v>
      </c>
      <c r="P259" s="1">
        <v>3650</v>
      </c>
      <c r="Q259" s="1">
        <v>2840.68</v>
      </c>
      <c r="R259" s="1">
        <v>3470</v>
      </c>
      <c r="S259" s="1">
        <v>4320</v>
      </c>
      <c r="T259" s="1">
        <v>850</v>
      </c>
      <c r="U259" s="1">
        <v>2150</v>
      </c>
      <c r="V259" s="1">
        <v>19620</v>
      </c>
      <c r="W259" s="1">
        <v>2748.4999999999977</v>
      </c>
      <c r="X259" s="1">
        <v>598.49999999999773</v>
      </c>
      <c r="AB259" s="2" t="str">
        <f t="shared" ref="AB259:AB322" si="4">IF(ABS(N259-(M259-L259))&lt;0.01,"PASS","CHECK")</f>
        <v>PASS</v>
      </c>
      <c r="AV259" s="1"/>
      <c r="AW259" s="1"/>
      <c r="AX259" s="1"/>
    </row>
    <row r="260" spans="1:50">
      <c r="A260" s="1" t="s">
        <v>286</v>
      </c>
      <c r="B260" s="1" t="s">
        <v>24</v>
      </c>
      <c r="C260" s="2">
        <v>46258.444243993057</v>
      </c>
      <c r="D260" s="2">
        <v>45168.030087268518</v>
      </c>
      <c r="E260" s="2">
        <v>46258.385562094911</v>
      </c>
      <c r="F260" s="1" t="s">
        <v>602</v>
      </c>
      <c r="G260" s="1" t="s">
        <v>25</v>
      </c>
      <c r="H260" s="3">
        <v>45167</v>
      </c>
      <c r="I260" s="1">
        <v>5603.8550000000005</v>
      </c>
      <c r="J260" s="1">
        <v>6590</v>
      </c>
      <c r="K260" s="1">
        <v>986.14499999999953</v>
      </c>
      <c r="L260" s="1">
        <v>2278</v>
      </c>
      <c r="M260" s="1">
        <v>2700</v>
      </c>
      <c r="N260" s="1">
        <v>422</v>
      </c>
      <c r="O260" s="1">
        <v>88.179999999999879</v>
      </c>
      <c r="P260" s="1">
        <v>1100</v>
      </c>
      <c r="Q260" s="1">
        <v>1011.8200000000002</v>
      </c>
      <c r="R260" s="1">
        <v>2606.666666666667</v>
      </c>
      <c r="S260" s="1">
        <v>3210</v>
      </c>
      <c r="T260" s="1">
        <v>603.33333333333303</v>
      </c>
      <c r="U260" s="1">
        <v>2150</v>
      </c>
      <c r="V260" s="1">
        <v>13600</v>
      </c>
      <c r="W260" s="1">
        <v>3023.2983333333327</v>
      </c>
      <c r="X260" s="1">
        <v>873.29833333333283</v>
      </c>
      <c r="AB260" s="2" t="str">
        <f t="shared" si="4"/>
        <v>PASS</v>
      </c>
      <c r="AV260" s="1"/>
      <c r="AW260" s="1"/>
      <c r="AX260" s="1"/>
    </row>
    <row r="261" spans="1:50">
      <c r="A261" s="1" t="s">
        <v>287</v>
      </c>
      <c r="B261" s="1" t="s">
        <v>24</v>
      </c>
      <c r="C261" s="2">
        <v>46258.444245335646</v>
      </c>
      <c r="D261" s="2">
        <v>45169.049440752315</v>
      </c>
      <c r="E261" s="2">
        <v>46258.385562187497</v>
      </c>
      <c r="F261" s="1" t="s">
        <v>602</v>
      </c>
      <c r="G261" s="1" t="s">
        <v>25</v>
      </c>
      <c r="H261" s="3">
        <v>45168</v>
      </c>
      <c r="I261" s="1">
        <v>5720.98</v>
      </c>
      <c r="J261" s="1">
        <v>7610</v>
      </c>
      <c r="K261" s="1">
        <v>1889.0200000000004</v>
      </c>
      <c r="L261" s="1">
        <v>2358.5250000000001</v>
      </c>
      <c r="M261" s="1">
        <v>2600</v>
      </c>
      <c r="N261" s="1">
        <v>241.47499999999991</v>
      </c>
      <c r="O261" s="1">
        <v>480.50000000000011</v>
      </c>
      <c r="P261" s="1">
        <v>2350</v>
      </c>
      <c r="Q261" s="1">
        <v>1869.5</v>
      </c>
      <c r="R261" s="1">
        <v>2213.3333333333335</v>
      </c>
      <c r="S261" s="1">
        <v>2800</v>
      </c>
      <c r="T261" s="1">
        <v>586.66666666666652</v>
      </c>
      <c r="U261" s="1">
        <v>2150</v>
      </c>
      <c r="V261" s="1">
        <v>15360</v>
      </c>
      <c r="W261" s="1">
        <v>4586.6616666666669</v>
      </c>
      <c r="X261" s="1">
        <v>2436.6616666666669</v>
      </c>
      <c r="AB261" s="2" t="str">
        <f t="shared" si="4"/>
        <v>PASS</v>
      </c>
      <c r="AV261" s="1"/>
      <c r="AW261" s="1"/>
      <c r="AX261" s="1"/>
    </row>
    <row r="262" spans="1:50">
      <c r="A262" s="1" t="s">
        <v>288</v>
      </c>
      <c r="B262" s="1" t="s">
        <v>24</v>
      </c>
      <c r="C262" s="2">
        <v>46258.44424665509</v>
      </c>
      <c r="D262" s="2">
        <v>45170.070035636571</v>
      </c>
      <c r="E262" s="2">
        <v>46258.385562268515</v>
      </c>
      <c r="F262" s="1" t="s">
        <v>602</v>
      </c>
      <c r="G262" s="1" t="s">
        <v>25</v>
      </c>
      <c r="H262" s="3">
        <v>45169</v>
      </c>
      <c r="I262" s="1">
        <v>5524.0449999999992</v>
      </c>
      <c r="J262" s="1">
        <v>8300</v>
      </c>
      <c r="K262" s="1">
        <v>2775.9550000000008</v>
      </c>
      <c r="L262" s="1">
        <v>3549.7900000000004</v>
      </c>
      <c r="M262" s="1">
        <v>6300</v>
      </c>
      <c r="N262" s="1">
        <v>2750.2099999999996</v>
      </c>
      <c r="O262" s="1">
        <v>367.40000000000003</v>
      </c>
      <c r="P262" s="1">
        <v>1650</v>
      </c>
      <c r="Q262" s="1">
        <v>1282.5999999999999</v>
      </c>
      <c r="R262" s="1">
        <v>4740.0000000000009</v>
      </c>
      <c r="S262" s="1">
        <v>5900</v>
      </c>
      <c r="T262" s="1">
        <v>1159.9999999999991</v>
      </c>
      <c r="U262" s="1">
        <v>2150</v>
      </c>
      <c r="V262" s="1">
        <v>22150</v>
      </c>
      <c r="W262" s="1">
        <v>7968.7650000000003</v>
      </c>
      <c r="X262" s="1">
        <v>5818.7650000000003</v>
      </c>
      <c r="AB262" s="2" t="str">
        <f t="shared" si="4"/>
        <v>PASS</v>
      </c>
      <c r="AV262" s="1"/>
      <c r="AW262" s="1"/>
      <c r="AX262" s="1"/>
    </row>
    <row r="263" spans="1:50">
      <c r="A263" s="1" t="s">
        <v>289</v>
      </c>
      <c r="B263" s="1" t="s">
        <v>24</v>
      </c>
      <c r="C263" s="2">
        <v>46258.44448111111</v>
      </c>
      <c r="D263" s="2">
        <v>45171.045291134258</v>
      </c>
      <c r="E263" s="2">
        <v>46258.385602152775</v>
      </c>
      <c r="F263" s="1" t="s">
        <v>603</v>
      </c>
      <c r="G263" s="1" t="s">
        <v>25</v>
      </c>
      <c r="H263" s="3">
        <v>45170</v>
      </c>
      <c r="I263" s="1">
        <v>6619.8950000000032</v>
      </c>
      <c r="J263" s="1">
        <v>9150</v>
      </c>
      <c r="K263" s="1">
        <v>2530.1049999999968</v>
      </c>
      <c r="L263" s="1">
        <v>3603.61</v>
      </c>
      <c r="M263" s="1">
        <v>5100</v>
      </c>
      <c r="N263" s="1">
        <v>1496.3900000000003</v>
      </c>
      <c r="O263" s="1">
        <v>520.82999999999993</v>
      </c>
      <c r="P263" s="1">
        <v>2800</v>
      </c>
      <c r="Q263" s="1">
        <v>2279.17</v>
      </c>
      <c r="R263" s="1">
        <v>2838.3333333333335</v>
      </c>
      <c r="S263" s="1">
        <v>3590</v>
      </c>
      <c r="T263" s="1">
        <v>751.66666666666652</v>
      </c>
      <c r="U263" s="1">
        <v>2150</v>
      </c>
      <c r="V263" s="1">
        <v>20640</v>
      </c>
      <c r="W263" s="1">
        <v>7057.3316666666633</v>
      </c>
      <c r="X263" s="1">
        <v>4907.3316666666633</v>
      </c>
      <c r="AB263" s="2" t="str">
        <f t="shared" si="4"/>
        <v>PASS</v>
      </c>
      <c r="AV263" s="1"/>
      <c r="AW263" s="1"/>
      <c r="AX263" s="1"/>
    </row>
    <row r="264" spans="1:50">
      <c r="A264" s="1" t="s">
        <v>290</v>
      </c>
      <c r="B264" s="1" t="s">
        <v>24</v>
      </c>
      <c r="C264" s="2">
        <v>46258.444482615741</v>
      </c>
      <c r="D264" s="2">
        <v>45172.115110775463</v>
      </c>
      <c r="E264" s="2">
        <v>46258.38560228009</v>
      </c>
      <c r="F264" s="1" t="s">
        <v>603</v>
      </c>
      <c r="G264" s="1" t="s">
        <v>25</v>
      </c>
      <c r="H264" s="3">
        <v>45171</v>
      </c>
      <c r="I264" s="1">
        <v>7081.8499999999995</v>
      </c>
      <c r="J264" s="1">
        <v>8310</v>
      </c>
      <c r="K264" s="1">
        <v>1228.1500000000003</v>
      </c>
      <c r="L264" s="1">
        <v>3330.6499999999996</v>
      </c>
      <c r="M264" s="1">
        <v>4700</v>
      </c>
      <c r="N264" s="1">
        <v>1369.3500000000004</v>
      </c>
      <c r="O264" s="1">
        <v>785.3</v>
      </c>
      <c r="P264" s="1">
        <v>2950</v>
      </c>
      <c r="Q264" s="1">
        <v>2164.6999999999998</v>
      </c>
      <c r="R264" s="1">
        <v>3228.333333333333</v>
      </c>
      <c r="S264" s="1">
        <v>4040</v>
      </c>
      <c r="T264" s="1">
        <v>811.66666666666708</v>
      </c>
      <c r="U264" s="1">
        <v>2150</v>
      </c>
      <c r="V264" s="1">
        <v>20000</v>
      </c>
      <c r="W264" s="1">
        <v>5573.8666666666677</v>
      </c>
      <c r="X264" s="1">
        <v>3423.8666666666677</v>
      </c>
      <c r="AB264" s="2" t="str">
        <f t="shared" si="4"/>
        <v>PASS</v>
      </c>
      <c r="AV264" s="1"/>
      <c r="AW264" s="1"/>
      <c r="AX264" s="1"/>
    </row>
    <row r="265" spans="1:50">
      <c r="A265" s="1" t="s">
        <v>291</v>
      </c>
      <c r="B265" s="1" t="s">
        <v>24</v>
      </c>
      <c r="C265" s="2">
        <v>46258.444483784719</v>
      </c>
      <c r="D265" s="2">
        <v>45173.042236782407</v>
      </c>
      <c r="E265" s="2">
        <v>46258.385602372684</v>
      </c>
      <c r="F265" s="1" t="s">
        <v>603</v>
      </c>
      <c r="G265" s="1" t="s">
        <v>25</v>
      </c>
      <c r="H265" s="3">
        <v>45172</v>
      </c>
      <c r="I265" s="1">
        <v>5624.8149999999996</v>
      </c>
      <c r="J265" s="1">
        <v>7410</v>
      </c>
      <c r="K265" s="1">
        <v>1785.1850000000004</v>
      </c>
      <c r="L265" s="1">
        <v>2261.5000000000005</v>
      </c>
      <c r="M265" s="1">
        <v>4200</v>
      </c>
      <c r="N265" s="1">
        <v>1938.4999999999995</v>
      </c>
      <c r="O265" s="1">
        <v>130.07999999999996</v>
      </c>
      <c r="P265" s="1">
        <v>350</v>
      </c>
      <c r="Q265" s="1">
        <v>219.92000000000004</v>
      </c>
      <c r="R265" s="1">
        <v>4555</v>
      </c>
      <c r="S265" s="1">
        <v>5700</v>
      </c>
      <c r="T265" s="1">
        <v>1145</v>
      </c>
      <c r="U265" s="1">
        <v>2150</v>
      </c>
      <c r="V265" s="1">
        <v>17660</v>
      </c>
      <c r="W265" s="1">
        <v>5088.6049999999996</v>
      </c>
      <c r="X265" s="1">
        <v>2938.6049999999996</v>
      </c>
      <c r="AB265" s="2" t="str">
        <f t="shared" si="4"/>
        <v>PASS</v>
      </c>
      <c r="AV265" s="1"/>
      <c r="AW265" s="1"/>
      <c r="AX265" s="1"/>
    </row>
    <row r="266" spans="1:50">
      <c r="A266" s="1" t="s">
        <v>292</v>
      </c>
      <c r="B266" s="1" t="s">
        <v>24</v>
      </c>
      <c r="C266" s="2">
        <v>46258.444485046297</v>
      </c>
      <c r="D266" s="2">
        <v>45175.034890057868</v>
      </c>
      <c r="E266" s="2">
        <v>46258.385602430557</v>
      </c>
      <c r="F266" s="1" t="s">
        <v>603</v>
      </c>
      <c r="G266" s="1" t="s">
        <v>25</v>
      </c>
      <c r="H266" s="3">
        <v>45173</v>
      </c>
      <c r="I266" s="1">
        <v>5160.7400000000007</v>
      </c>
      <c r="J266" s="1">
        <v>9420</v>
      </c>
      <c r="K266" s="1">
        <v>4259.2599999999993</v>
      </c>
      <c r="L266" s="1">
        <v>2275.25</v>
      </c>
      <c r="M266" s="1">
        <v>2100</v>
      </c>
      <c r="N266" s="1">
        <v>-175.25</v>
      </c>
      <c r="O266" s="1">
        <v>116</v>
      </c>
      <c r="P266" s="1">
        <v>550</v>
      </c>
      <c r="Q266" s="1">
        <v>434</v>
      </c>
      <c r="R266" s="1">
        <v>2770</v>
      </c>
      <c r="S266" s="1">
        <v>3420</v>
      </c>
      <c r="T266" s="1">
        <v>650</v>
      </c>
      <c r="U266" s="1">
        <v>2150</v>
      </c>
      <c r="V266" s="1">
        <v>15490</v>
      </c>
      <c r="W266" s="1">
        <v>5168.0099999999993</v>
      </c>
      <c r="X266" s="1">
        <v>3018.0099999999993</v>
      </c>
      <c r="AB266" s="2" t="str">
        <f t="shared" si="4"/>
        <v>PASS</v>
      </c>
      <c r="AV266" s="1"/>
      <c r="AW266" s="1"/>
      <c r="AX266" s="1"/>
    </row>
    <row r="267" spans="1:50">
      <c r="A267" s="1" t="s">
        <v>293</v>
      </c>
      <c r="B267" s="1" t="s">
        <v>24</v>
      </c>
      <c r="C267" s="2">
        <v>46258.444486250002</v>
      </c>
      <c r="D267" s="2">
        <v>45176.023894444443</v>
      </c>
      <c r="E267" s="2">
        <v>46258.385602499999</v>
      </c>
      <c r="F267" s="1" t="s">
        <v>603</v>
      </c>
      <c r="G267" s="1" t="s">
        <v>25</v>
      </c>
      <c r="H267" s="3">
        <v>45174</v>
      </c>
      <c r="I267" s="1">
        <v>6809.704999999999</v>
      </c>
      <c r="J267" s="1">
        <v>6920</v>
      </c>
      <c r="K267" s="1">
        <v>110.29500000000098</v>
      </c>
      <c r="L267" s="1">
        <v>1875.5500000000004</v>
      </c>
      <c r="M267" s="1">
        <v>2300</v>
      </c>
      <c r="N267" s="1">
        <v>424.44999999999959</v>
      </c>
      <c r="O267" s="1">
        <v>656.1</v>
      </c>
      <c r="P267" s="1">
        <v>1700</v>
      </c>
      <c r="Q267" s="1">
        <v>1043.9000000000001</v>
      </c>
      <c r="R267" s="1">
        <v>2913.333333333333</v>
      </c>
      <c r="S267" s="1">
        <v>3620</v>
      </c>
      <c r="T267" s="1">
        <v>706.66666666666697</v>
      </c>
      <c r="U267" s="1">
        <v>2150</v>
      </c>
      <c r="V267" s="1">
        <v>14540</v>
      </c>
      <c r="W267" s="1">
        <v>2285.3116666666674</v>
      </c>
      <c r="X267" s="1">
        <v>135.31166666666741</v>
      </c>
      <c r="AB267" s="2" t="str">
        <f t="shared" si="4"/>
        <v>PASS</v>
      </c>
      <c r="AV267" s="1"/>
      <c r="AW267" s="1"/>
      <c r="AX267" s="1"/>
    </row>
    <row r="268" spans="1:50">
      <c r="A268" s="1" t="s">
        <v>26</v>
      </c>
      <c r="B268" s="1" t="s">
        <v>24</v>
      </c>
      <c r="C268" s="2">
        <v>46258.444487372682</v>
      </c>
      <c r="D268" s="2">
        <v>45177.029102905093</v>
      </c>
      <c r="E268" s="2">
        <v>46258.385602581016</v>
      </c>
      <c r="F268" s="1" t="s">
        <v>603</v>
      </c>
      <c r="G268" s="1" t="s">
        <v>25</v>
      </c>
      <c r="H268" s="3">
        <v>45175</v>
      </c>
      <c r="I268" s="1">
        <v>5005.6499999999996</v>
      </c>
      <c r="J268" s="1">
        <v>9120</v>
      </c>
      <c r="K268" s="1">
        <v>4114.3500000000004</v>
      </c>
      <c r="L268" s="1">
        <v>2576.6749999999997</v>
      </c>
      <c r="M268" s="1">
        <v>3690</v>
      </c>
      <c r="N268" s="1">
        <v>1113.3250000000005</v>
      </c>
      <c r="O268" s="1">
        <v>359.85</v>
      </c>
      <c r="P268" s="1">
        <v>1100</v>
      </c>
      <c r="Q268" s="1">
        <v>740.15</v>
      </c>
      <c r="R268" s="1">
        <v>2585.0000000000005</v>
      </c>
      <c r="S268" s="1">
        <v>3230</v>
      </c>
      <c r="T268" s="1">
        <v>644.99999999999955</v>
      </c>
      <c r="U268" s="1">
        <v>2150</v>
      </c>
      <c r="V268" s="1">
        <v>17140</v>
      </c>
      <c r="W268" s="1">
        <v>6612.8250000000007</v>
      </c>
      <c r="X268" s="1">
        <v>4462.8250000000007</v>
      </c>
      <c r="AB268" s="2" t="str">
        <f t="shared" si="4"/>
        <v>PASS</v>
      </c>
      <c r="AV268" s="1"/>
      <c r="AW268" s="1"/>
      <c r="AX268" s="1"/>
    </row>
    <row r="269" spans="1:50">
      <c r="A269" s="1" t="s">
        <v>294</v>
      </c>
      <c r="B269" s="1" t="s">
        <v>24</v>
      </c>
      <c r="C269" s="2">
        <v>46258.444488483794</v>
      </c>
      <c r="D269" s="2">
        <v>45179.105487060187</v>
      </c>
      <c r="E269" s="2">
        <v>46258.385602662034</v>
      </c>
      <c r="F269" s="1" t="s">
        <v>603</v>
      </c>
      <c r="G269" s="1" t="s">
        <v>25</v>
      </c>
      <c r="H269" s="3">
        <v>45176</v>
      </c>
      <c r="I269" s="1">
        <v>5367.8399999999983</v>
      </c>
      <c r="J269" s="1">
        <v>6740</v>
      </c>
      <c r="K269" s="1">
        <v>1372.1600000000017</v>
      </c>
      <c r="L269" s="1">
        <v>3703.8249999999998</v>
      </c>
      <c r="M269" s="1">
        <v>6850</v>
      </c>
      <c r="N269" s="1">
        <v>3146.1750000000002</v>
      </c>
      <c r="O269" s="1">
        <v>146.32999999999979</v>
      </c>
      <c r="P269" s="1">
        <v>800</v>
      </c>
      <c r="Q269" s="1">
        <v>653.67000000000019</v>
      </c>
      <c r="R269" s="1">
        <v>3448.3333333333335</v>
      </c>
      <c r="S269" s="1">
        <v>4320</v>
      </c>
      <c r="T269" s="1">
        <v>871.66666666666652</v>
      </c>
      <c r="U269" s="1">
        <v>2150</v>
      </c>
      <c r="V269" s="1">
        <v>18710</v>
      </c>
      <c r="W269" s="1">
        <v>6043.6716666666689</v>
      </c>
      <c r="X269" s="1">
        <v>3893.6716666666689</v>
      </c>
      <c r="AB269" s="2" t="str">
        <f t="shared" si="4"/>
        <v>PASS</v>
      </c>
      <c r="AV269" s="1"/>
      <c r="AW269" s="1"/>
      <c r="AX269" s="1"/>
    </row>
    <row r="270" spans="1:50">
      <c r="A270" s="1" t="s">
        <v>295</v>
      </c>
      <c r="B270" s="1" t="s">
        <v>24</v>
      </c>
      <c r="C270" s="2">
        <v>46258.444489895832</v>
      </c>
      <c r="D270" s="2">
        <v>45180.048807638887</v>
      </c>
      <c r="E270" s="2">
        <v>46258.385602766204</v>
      </c>
      <c r="F270" s="1" t="s">
        <v>603</v>
      </c>
      <c r="G270" s="1" t="s">
        <v>25</v>
      </c>
      <c r="H270" s="3">
        <v>45177</v>
      </c>
      <c r="I270" s="1">
        <v>6657.8200000000015</v>
      </c>
      <c r="J270" s="1">
        <v>5950</v>
      </c>
      <c r="K270" s="1">
        <v>-707.82000000000153</v>
      </c>
      <c r="L270" s="1">
        <v>6022.6750000000011</v>
      </c>
      <c r="M270" s="1">
        <v>10250</v>
      </c>
      <c r="N270" s="1">
        <v>4227.3249999999989</v>
      </c>
      <c r="O270" s="1">
        <v>387.63000000000022</v>
      </c>
      <c r="P270" s="1">
        <v>1100</v>
      </c>
      <c r="Q270" s="1">
        <v>712.36999999999966</v>
      </c>
      <c r="R270" s="1">
        <v>4071.6666666666665</v>
      </c>
      <c r="S270" s="1">
        <v>5050</v>
      </c>
      <c r="T270" s="1">
        <v>978.33333333333348</v>
      </c>
      <c r="U270" s="1">
        <v>2150</v>
      </c>
      <c r="V270" s="1">
        <v>22350</v>
      </c>
      <c r="W270" s="1">
        <v>5210.2083333333303</v>
      </c>
      <c r="X270" s="1">
        <v>3060.2083333333303</v>
      </c>
      <c r="AB270" s="2" t="str">
        <f t="shared" si="4"/>
        <v>PASS</v>
      </c>
      <c r="AV270" s="1"/>
      <c r="AW270" s="1"/>
      <c r="AX270" s="1"/>
    </row>
    <row r="271" spans="1:50">
      <c r="A271" s="1" t="s">
        <v>296</v>
      </c>
      <c r="B271" s="1" t="s">
        <v>24</v>
      </c>
      <c r="C271" s="2">
        <v>46258.444491238428</v>
      </c>
      <c r="D271" s="2">
        <v>45181.081960671298</v>
      </c>
      <c r="E271" s="2">
        <v>46258.385603159724</v>
      </c>
      <c r="F271" s="1" t="s">
        <v>603</v>
      </c>
      <c r="G271" s="1" t="s">
        <v>25</v>
      </c>
      <c r="H271" s="3">
        <v>45180</v>
      </c>
      <c r="I271" s="1">
        <v>6148.6200000000008</v>
      </c>
      <c r="J271" s="1">
        <v>8940</v>
      </c>
      <c r="K271" s="1">
        <v>2791.3799999999992</v>
      </c>
      <c r="L271" s="1">
        <v>2367.7250000000004</v>
      </c>
      <c r="M271" s="1">
        <v>3600</v>
      </c>
      <c r="N271" s="1">
        <v>1232.2749999999996</v>
      </c>
      <c r="O271" s="1">
        <v>120.24999999999991</v>
      </c>
      <c r="P271" s="1">
        <v>800</v>
      </c>
      <c r="Q271" s="1">
        <v>679.75000000000011</v>
      </c>
      <c r="R271" s="1">
        <v>3958.3333333333335</v>
      </c>
      <c r="S271" s="1">
        <v>4950</v>
      </c>
      <c r="T271" s="1">
        <v>991.66666666666652</v>
      </c>
      <c r="U271" s="1">
        <v>2150</v>
      </c>
      <c r="V271" s="1">
        <v>18290</v>
      </c>
      <c r="W271" s="1">
        <v>5695.0716666666649</v>
      </c>
      <c r="X271" s="1">
        <v>3545.0716666666649</v>
      </c>
      <c r="AB271" s="2" t="str">
        <f t="shared" si="4"/>
        <v>PASS</v>
      </c>
      <c r="AV271" s="1"/>
      <c r="AW271" s="1"/>
      <c r="AX271" s="1"/>
    </row>
    <row r="272" spans="1:50">
      <c r="A272" s="1" t="s">
        <v>297</v>
      </c>
      <c r="B272" s="1" t="s">
        <v>24</v>
      </c>
      <c r="C272" s="2">
        <v>46258.444492453702</v>
      </c>
      <c r="D272" s="2">
        <v>45182.03111520833</v>
      </c>
      <c r="E272" s="2">
        <v>46258.38560321759</v>
      </c>
      <c r="F272" s="1" t="s">
        <v>603</v>
      </c>
      <c r="G272" s="1" t="s">
        <v>25</v>
      </c>
      <c r="H272" s="3">
        <v>45181</v>
      </c>
      <c r="I272" s="1">
        <v>6232.3849999999993</v>
      </c>
      <c r="J272" s="1">
        <v>5380</v>
      </c>
      <c r="K272" s="1">
        <v>-852.38499999999931</v>
      </c>
      <c r="L272" s="1">
        <v>3074.3749999999995</v>
      </c>
      <c r="M272" s="1">
        <v>5150</v>
      </c>
      <c r="N272" s="1">
        <v>2075.6250000000005</v>
      </c>
      <c r="O272" s="1">
        <v>495.4</v>
      </c>
      <c r="P272" s="1">
        <v>1000</v>
      </c>
      <c r="Q272" s="1">
        <v>504.6</v>
      </c>
      <c r="R272" s="1">
        <v>3225</v>
      </c>
      <c r="S272" s="1">
        <v>4020</v>
      </c>
      <c r="T272" s="1">
        <v>795</v>
      </c>
      <c r="U272" s="1">
        <v>2150</v>
      </c>
      <c r="V272" s="1">
        <v>15550</v>
      </c>
      <c r="W272" s="1">
        <v>2522.8400000000011</v>
      </c>
      <c r="X272" s="1">
        <v>372.84000000000106</v>
      </c>
      <c r="AB272" s="2" t="str">
        <f t="shared" si="4"/>
        <v>PASS</v>
      </c>
      <c r="AV272" s="1"/>
      <c r="AW272" s="1"/>
      <c r="AX272" s="1"/>
    </row>
    <row r="273" spans="1:50">
      <c r="A273" s="1" t="s">
        <v>298</v>
      </c>
      <c r="B273" s="1" t="s">
        <v>24</v>
      </c>
      <c r="C273" s="2">
        <v>46258.444493807867</v>
      </c>
      <c r="D273" s="2">
        <v>45183.022950659724</v>
      </c>
      <c r="E273" s="2">
        <v>46258.38560332176</v>
      </c>
      <c r="F273" s="1" t="s">
        <v>603</v>
      </c>
      <c r="G273" s="1" t="s">
        <v>25</v>
      </c>
      <c r="H273" s="3">
        <v>45182</v>
      </c>
      <c r="I273" s="1">
        <v>4800.2800000000007</v>
      </c>
      <c r="J273" s="1">
        <v>6270</v>
      </c>
      <c r="K273" s="1">
        <v>1469.7199999999991</v>
      </c>
      <c r="L273" s="1">
        <v>2965.9999999999995</v>
      </c>
      <c r="M273" s="1">
        <v>4100</v>
      </c>
      <c r="N273" s="1">
        <v>1134.0000000000005</v>
      </c>
      <c r="O273" s="1">
        <v>23</v>
      </c>
      <c r="P273" s="1">
        <v>400</v>
      </c>
      <c r="Q273" s="1">
        <v>377</v>
      </c>
      <c r="R273" s="1">
        <v>3024.9999999999995</v>
      </c>
      <c r="S273" s="1">
        <v>3800</v>
      </c>
      <c r="T273" s="1">
        <v>775.00000000000045</v>
      </c>
      <c r="U273" s="1">
        <v>2150</v>
      </c>
      <c r="V273" s="1">
        <v>14570</v>
      </c>
      <c r="W273" s="1">
        <v>3755.72</v>
      </c>
      <c r="X273" s="1">
        <v>1605.7200000000005</v>
      </c>
      <c r="AB273" s="2" t="str">
        <f t="shared" si="4"/>
        <v>PASS</v>
      </c>
      <c r="AV273" s="1"/>
      <c r="AW273" s="1"/>
      <c r="AX273" s="1"/>
    </row>
    <row r="274" spans="1:50">
      <c r="A274" s="1" t="s">
        <v>299</v>
      </c>
      <c r="B274" s="1" t="s">
        <v>24</v>
      </c>
      <c r="C274" s="2">
        <v>46258.44449509259</v>
      </c>
      <c r="D274" s="2">
        <v>45184.026754166669</v>
      </c>
      <c r="E274" s="2">
        <v>46258.385603402778</v>
      </c>
      <c r="F274" s="1" t="s">
        <v>603</v>
      </c>
      <c r="G274" s="1" t="s">
        <v>25</v>
      </c>
      <c r="H274" s="3">
        <v>45183</v>
      </c>
      <c r="I274" s="1">
        <v>5510.5350000000008</v>
      </c>
      <c r="J274" s="1">
        <v>5260</v>
      </c>
      <c r="K274" s="1">
        <v>-250.53500000000076</v>
      </c>
      <c r="L274" s="1">
        <v>2190.7750000000005</v>
      </c>
      <c r="M274" s="1">
        <v>6350</v>
      </c>
      <c r="N274" s="1">
        <v>4159.2249999999995</v>
      </c>
      <c r="O274" s="1">
        <v>273.61000000000013</v>
      </c>
      <c r="P274" s="1">
        <v>800</v>
      </c>
      <c r="Q274" s="1">
        <v>526.38999999999987</v>
      </c>
      <c r="R274" s="1">
        <v>2993.3333333333335</v>
      </c>
      <c r="S274" s="1">
        <v>3710</v>
      </c>
      <c r="T274" s="1">
        <v>716.66666666666652</v>
      </c>
      <c r="U274" s="1">
        <v>2150</v>
      </c>
      <c r="V274" s="1">
        <v>16120</v>
      </c>
      <c r="W274" s="1">
        <v>5151.746666666666</v>
      </c>
      <c r="X274" s="1">
        <v>3001.746666666666</v>
      </c>
      <c r="AB274" s="2" t="str">
        <f t="shared" si="4"/>
        <v>PASS</v>
      </c>
      <c r="AV274" s="1"/>
      <c r="AW274" s="1"/>
      <c r="AX274" s="1"/>
    </row>
    <row r="275" spans="1:50">
      <c r="A275" s="1" t="s">
        <v>300</v>
      </c>
      <c r="B275" s="1" t="s">
        <v>24</v>
      </c>
      <c r="C275" s="2">
        <v>46258.444496331016</v>
      </c>
      <c r="D275" s="2">
        <v>45185.042928946757</v>
      </c>
      <c r="E275" s="2">
        <v>46258.385603472219</v>
      </c>
      <c r="F275" s="1" t="s">
        <v>603</v>
      </c>
      <c r="G275" s="1" t="s">
        <v>25</v>
      </c>
      <c r="H275" s="3">
        <v>45184</v>
      </c>
      <c r="I275" s="1">
        <v>5618.329999999999</v>
      </c>
      <c r="J275" s="1">
        <v>5860</v>
      </c>
      <c r="K275" s="1">
        <v>241.67000000000095</v>
      </c>
      <c r="L275" s="1">
        <v>4822.9750000000004</v>
      </c>
      <c r="M275" s="1">
        <v>6150</v>
      </c>
      <c r="N275" s="1">
        <v>1327.0249999999996</v>
      </c>
      <c r="O275" s="1">
        <v>660.79999999999984</v>
      </c>
      <c r="P275" s="1">
        <v>1600</v>
      </c>
      <c r="Q275" s="1">
        <v>939.20000000000016</v>
      </c>
      <c r="R275" s="1">
        <v>3183.3333333333335</v>
      </c>
      <c r="S275" s="1">
        <v>4020</v>
      </c>
      <c r="T275" s="1">
        <v>836.66666666666652</v>
      </c>
      <c r="U275" s="1">
        <v>2150</v>
      </c>
      <c r="V275" s="1">
        <v>17630</v>
      </c>
      <c r="W275" s="1">
        <v>3344.5616666666674</v>
      </c>
      <c r="X275" s="1">
        <v>1194.5616666666674</v>
      </c>
      <c r="AB275" s="2" t="str">
        <f t="shared" si="4"/>
        <v>PASS</v>
      </c>
      <c r="AV275" s="1"/>
      <c r="AW275" s="1"/>
      <c r="AX275" s="1"/>
    </row>
    <row r="276" spans="1:50">
      <c r="A276" s="1" t="s">
        <v>301</v>
      </c>
      <c r="B276" s="1" t="s">
        <v>24</v>
      </c>
      <c r="C276" s="2">
        <v>46258.444497569442</v>
      </c>
      <c r="D276" s="2">
        <v>45186.03685921296</v>
      </c>
      <c r="E276" s="2">
        <v>46258.385603553237</v>
      </c>
      <c r="F276" s="1" t="s">
        <v>603</v>
      </c>
      <c r="G276" s="1" t="s">
        <v>25</v>
      </c>
      <c r="H276" s="3">
        <v>45185</v>
      </c>
      <c r="I276" s="1">
        <v>6304.2249999999995</v>
      </c>
      <c r="J276" s="1">
        <v>5600</v>
      </c>
      <c r="K276" s="1">
        <v>-704.22499999999945</v>
      </c>
      <c r="L276" s="1">
        <v>2080.6999999999994</v>
      </c>
      <c r="M276" s="1">
        <v>5450</v>
      </c>
      <c r="N276" s="1">
        <v>3369.3000000000006</v>
      </c>
      <c r="O276" s="1">
        <v>621.75999999999965</v>
      </c>
      <c r="P276" s="1">
        <v>1200</v>
      </c>
      <c r="Q276" s="1">
        <v>578.24000000000035</v>
      </c>
      <c r="R276" s="1">
        <v>2893.333333333333</v>
      </c>
      <c r="S276" s="1">
        <v>3620</v>
      </c>
      <c r="T276" s="1">
        <v>726.66666666666708</v>
      </c>
      <c r="U276" s="1">
        <v>2150</v>
      </c>
      <c r="V276" s="1">
        <v>15870</v>
      </c>
      <c r="W276" s="1">
        <v>3969.9816666666688</v>
      </c>
      <c r="X276" s="1">
        <v>1819.9816666666684</v>
      </c>
      <c r="AB276" s="2" t="str">
        <f t="shared" si="4"/>
        <v>PASS</v>
      </c>
      <c r="AV276" s="1"/>
      <c r="AW276" s="1"/>
      <c r="AX276" s="1"/>
    </row>
    <row r="277" spans="1:50">
      <c r="A277" s="1" t="s">
        <v>302</v>
      </c>
      <c r="B277" s="1" t="s">
        <v>24</v>
      </c>
      <c r="C277" s="2">
        <v>46258.444498761572</v>
      </c>
      <c r="D277" s="2">
        <v>45187.05029684028</v>
      </c>
      <c r="E277" s="2">
        <v>46258.385603726849</v>
      </c>
      <c r="F277" s="1" t="s">
        <v>603</v>
      </c>
      <c r="G277" s="1" t="s">
        <v>25</v>
      </c>
      <c r="H277" s="3">
        <v>45186</v>
      </c>
      <c r="I277" s="1">
        <v>6056.89</v>
      </c>
      <c r="J277" s="1">
        <v>10800</v>
      </c>
      <c r="K277" s="1">
        <v>4743.1099999999997</v>
      </c>
      <c r="L277" s="1">
        <v>6031.3750000000009</v>
      </c>
      <c r="M277" s="1">
        <v>12060</v>
      </c>
      <c r="N277" s="1">
        <v>6028.6249999999991</v>
      </c>
      <c r="O277" s="1">
        <v>714.38</v>
      </c>
      <c r="P277" s="1">
        <v>2040</v>
      </c>
      <c r="Q277" s="1">
        <v>1325.62</v>
      </c>
      <c r="R277" s="1">
        <v>4061.6666666666665</v>
      </c>
      <c r="S277" s="1">
        <v>5100</v>
      </c>
      <c r="T277" s="1">
        <v>1038.3333333333337</v>
      </c>
      <c r="U277" s="1">
        <v>2150</v>
      </c>
      <c r="V277" s="1">
        <v>30000</v>
      </c>
      <c r="W277" s="1">
        <v>13135.688333333334</v>
      </c>
      <c r="X277" s="1">
        <v>10985.688333333334</v>
      </c>
      <c r="AB277" s="2" t="str">
        <f t="shared" si="4"/>
        <v>PASS</v>
      </c>
      <c r="AV277" s="1"/>
      <c r="AW277" s="1"/>
      <c r="AX277" s="1"/>
    </row>
    <row r="278" spans="1:50">
      <c r="A278" s="1" t="s">
        <v>303</v>
      </c>
      <c r="B278" s="1" t="s">
        <v>24</v>
      </c>
      <c r="C278" s="2">
        <v>46258.44449991898</v>
      </c>
      <c r="D278" s="2">
        <v>45188.034023171298</v>
      </c>
      <c r="E278" s="2">
        <v>46258.385603796298</v>
      </c>
      <c r="F278" s="1" t="s">
        <v>603</v>
      </c>
      <c r="G278" s="1" t="s">
        <v>25</v>
      </c>
      <c r="H278" s="3">
        <v>45187</v>
      </c>
      <c r="I278" s="1">
        <v>7870.7249999999985</v>
      </c>
      <c r="J278" s="1">
        <v>7220</v>
      </c>
      <c r="K278" s="1">
        <v>-650.72499999999854</v>
      </c>
      <c r="L278" s="1">
        <v>4716.4750000000004</v>
      </c>
      <c r="M278" s="1">
        <v>8400</v>
      </c>
      <c r="N278" s="1">
        <v>3683.5250000000001</v>
      </c>
      <c r="O278" s="1">
        <v>1732.69</v>
      </c>
      <c r="P278" s="1">
        <v>4160</v>
      </c>
      <c r="Q278" s="1">
        <v>2427.31</v>
      </c>
      <c r="R278" s="1">
        <v>3415</v>
      </c>
      <c r="S278" s="1">
        <v>4330</v>
      </c>
      <c r="T278" s="1">
        <v>915</v>
      </c>
      <c r="U278" s="1">
        <v>2150</v>
      </c>
      <c r="V278" s="1">
        <v>24110</v>
      </c>
      <c r="W278" s="1">
        <v>6375.1100000000006</v>
      </c>
      <c r="X278" s="1">
        <v>4225.1100000000006</v>
      </c>
      <c r="AB278" s="2" t="str">
        <f t="shared" si="4"/>
        <v>PASS</v>
      </c>
      <c r="AV278" s="1"/>
      <c r="AW278" s="1"/>
      <c r="AX278" s="1"/>
    </row>
    <row r="279" spans="1:50">
      <c r="A279" s="1" t="s">
        <v>304</v>
      </c>
      <c r="B279" s="1" t="s">
        <v>24</v>
      </c>
      <c r="C279" s="2">
        <v>46258.444501053244</v>
      </c>
      <c r="D279" s="2">
        <v>45189.026424444448</v>
      </c>
      <c r="E279" s="2">
        <v>46258.38560386574</v>
      </c>
      <c r="F279" s="1" t="s">
        <v>603</v>
      </c>
      <c r="G279" s="1" t="s">
        <v>25</v>
      </c>
      <c r="H279" s="3">
        <v>45188</v>
      </c>
      <c r="I279" s="1">
        <v>4743.085</v>
      </c>
      <c r="J279" s="1">
        <v>7560</v>
      </c>
      <c r="K279" s="1">
        <v>2816.915</v>
      </c>
      <c r="L279" s="1">
        <v>1411.3749999999995</v>
      </c>
      <c r="M279" s="1">
        <v>4050</v>
      </c>
      <c r="N279" s="1">
        <v>2638.6250000000005</v>
      </c>
      <c r="O279" s="1">
        <v>1065.02</v>
      </c>
      <c r="P279" s="1">
        <v>1960</v>
      </c>
      <c r="Q279" s="1">
        <v>894.98</v>
      </c>
      <c r="R279" s="1">
        <v>2500</v>
      </c>
      <c r="S279" s="1">
        <v>3130</v>
      </c>
      <c r="T279" s="1">
        <v>630</v>
      </c>
      <c r="U279" s="1">
        <v>2150</v>
      </c>
      <c r="V279" s="1">
        <v>16700</v>
      </c>
      <c r="W279" s="1">
        <v>6980.52</v>
      </c>
      <c r="X279" s="1">
        <v>4830.5200000000004</v>
      </c>
      <c r="AB279" s="2" t="str">
        <f t="shared" si="4"/>
        <v>PASS</v>
      </c>
      <c r="AV279" s="1"/>
      <c r="AW279" s="1"/>
      <c r="AX279" s="1"/>
    </row>
    <row r="280" spans="1:50">
      <c r="A280" s="1" t="s">
        <v>305</v>
      </c>
      <c r="B280" s="1" t="s">
        <v>24</v>
      </c>
      <c r="C280" s="2">
        <v>46258.444502372688</v>
      </c>
      <c r="D280" s="2">
        <v>45190.036931180555</v>
      </c>
      <c r="E280" s="2">
        <v>46258.385603935189</v>
      </c>
      <c r="F280" s="1" t="s">
        <v>603</v>
      </c>
      <c r="G280" s="1" t="s">
        <v>25</v>
      </c>
      <c r="H280" s="3">
        <v>45189</v>
      </c>
      <c r="I280" s="1">
        <v>4646.4299999999994</v>
      </c>
      <c r="J280" s="1">
        <v>7710</v>
      </c>
      <c r="K280" s="1">
        <v>3063.5700000000006</v>
      </c>
      <c r="L280" s="1">
        <v>4048.5500000000006</v>
      </c>
      <c r="M280" s="1">
        <v>7350</v>
      </c>
      <c r="N280" s="1">
        <v>3301.4499999999989</v>
      </c>
      <c r="O280" s="1">
        <v>1590.3599999999997</v>
      </c>
      <c r="P280" s="1">
        <v>3880</v>
      </c>
      <c r="Q280" s="1">
        <v>2289.64</v>
      </c>
      <c r="R280" s="1">
        <v>3118.3333333333335</v>
      </c>
      <c r="S280" s="1">
        <v>3950</v>
      </c>
      <c r="T280" s="1">
        <v>831.66666666666652</v>
      </c>
      <c r="U280" s="1">
        <v>2150</v>
      </c>
      <c r="V280" s="1">
        <v>22890</v>
      </c>
      <c r="W280" s="1">
        <v>9486.3266666666659</v>
      </c>
      <c r="X280" s="1">
        <v>7336.3266666666659</v>
      </c>
      <c r="AB280" s="2" t="str">
        <f t="shared" si="4"/>
        <v>PASS</v>
      </c>
      <c r="AV280" s="1"/>
      <c r="AW280" s="1"/>
      <c r="AX280" s="1"/>
    </row>
    <row r="281" spans="1:50">
      <c r="A281" s="1" t="s">
        <v>306</v>
      </c>
      <c r="B281" s="1" t="s">
        <v>24</v>
      </c>
      <c r="C281" s="2">
        <v>46258.444503576386</v>
      </c>
      <c r="D281" s="2">
        <v>45191.036127569445</v>
      </c>
      <c r="E281" s="2">
        <v>46258.38560400463</v>
      </c>
      <c r="F281" s="1" t="s">
        <v>603</v>
      </c>
      <c r="G281" s="1" t="s">
        <v>25</v>
      </c>
      <c r="H281" s="3">
        <v>45190</v>
      </c>
      <c r="I281" s="1">
        <v>5778.98</v>
      </c>
      <c r="J281" s="1">
        <v>5140</v>
      </c>
      <c r="K281" s="1">
        <v>-638.97999999999956</v>
      </c>
      <c r="L281" s="1">
        <v>1538.9</v>
      </c>
      <c r="M281" s="1">
        <v>4350</v>
      </c>
      <c r="N281" s="1">
        <v>2811.1</v>
      </c>
      <c r="O281" s="1">
        <v>329.65999999999991</v>
      </c>
      <c r="P281" s="1">
        <v>1280</v>
      </c>
      <c r="Q281" s="1">
        <v>950.34000000000015</v>
      </c>
      <c r="R281" s="1">
        <v>3953.333333333333</v>
      </c>
      <c r="S281" s="1">
        <v>4920</v>
      </c>
      <c r="T281" s="1">
        <v>966.66666666666708</v>
      </c>
      <c r="U281" s="1">
        <v>2150</v>
      </c>
      <c r="V281" s="1">
        <v>15690</v>
      </c>
      <c r="W281" s="1">
        <v>4089.126666666667</v>
      </c>
      <c r="X281" s="1">
        <v>1939.1266666666677</v>
      </c>
      <c r="AB281" s="2" t="str">
        <f t="shared" si="4"/>
        <v>PASS</v>
      </c>
      <c r="AV281" s="1"/>
      <c r="AW281" s="1"/>
      <c r="AX281" s="1"/>
    </row>
    <row r="282" spans="1:50">
      <c r="A282" s="1" t="s">
        <v>28</v>
      </c>
      <c r="B282" s="1" t="s">
        <v>24</v>
      </c>
      <c r="C282" s="2">
        <v>46258.444504826388</v>
      </c>
      <c r="D282" s="2">
        <v>45192.055706064813</v>
      </c>
      <c r="E282" s="2">
        <v>46258.385604085648</v>
      </c>
      <c r="F282" s="1" t="s">
        <v>603</v>
      </c>
      <c r="G282" s="1" t="s">
        <v>25</v>
      </c>
      <c r="H282" s="3">
        <v>45191</v>
      </c>
      <c r="I282" s="1">
        <v>7568.5349999999999</v>
      </c>
      <c r="J282" s="1">
        <v>6280</v>
      </c>
      <c r="K282" s="1">
        <v>-1288.5350000000001</v>
      </c>
      <c r="L282" s="1">
        <v>5704.85</v>
      </c>
      <c r="M282" s="1">
        <v>10650</v>
      </c>
      <c r="N282" s="1">
        <v>4945.1499999999996</v>
      </c>
      <c r="O282" s="1">
        <v>1298.1100000000004</v>
      </c>
      <c r="P282" s="1">
        <v>3080</v>
      </c>
      <c r="Q282" s="1">
        <v>1781.8899999999996</v>
      </c>
      <c r="R282" s="1">
        <v>4440</v>
      </c>
      <c r="S282" s="1">
        <v>5540</v>
      </c>
      <c r="T282" s="1">
        <v>1100</v>
      </c>
      <c r="U282" s="1">
        <v>2150</v>
      </c>
      <c r="V282" s="1">
        <v>25550</v>
      </c>
      <c r="W282" s="1">
        <v>6538.5049999999992</v>
      </c>
      <c r="X282" s="1">
        <v>4388.5049999999992</v>
      </c>
      <c r="AB282" s="2" t="str">
        <f t="shared" si="4"/>
        <v>PASS</v>
      </c>
      <c r="AV282" s="1"/>
      <c r="AW282" s="1"/>
      <c r="AX282" s="1"/>
    </row>
    <row r="283" spans="1:50">
      <c r="A283" s="1" t="s">
        <v>307</v>
      </c>
      <c r="B283" s="1" t="s">
        <v>24</v>
      </c>
      <c r="C283" s="2">
        <v>46258.444506053238</v>
      </c>
      <c r="D283" s="2">
        <v>45193.623800312504</v>
      </c>
      <c r="E283" s="2">
        <v>46258.385604178242</v>
      </c>
      <c r="F283" s="1" t="s">
        <v>603</v>
      </c>
      <c r="G283" s="1" t="s">
        <v>25</v>
      </c>
      <c r="H283" s="3">
        <v>45192</v>
      </c>
      <c r="I283" s="1">
        <v>5977.4999999999973</v>
      </c>
      <c r="J283" s="1">
        <v>7240</v>
      </c>
      <c r="K283" s="1">
        <v>1262.5000000000027</v>
      </c>
      <c r="L283" s="1">
        <v>3750.6750000000002</v>
      </c>
      <c r="M283" s="1">
        <v>5270</v>
      </c>
      <c r="N283" s="1">
        <v>1519.3250000000005</v>
      </c>
      <c r="O283" s="1">
        <v>1373.4</v>
      </c>
      <c r="P283" s="1">
        <v>3880</v>
      </c>
      <c r="Q283" s="1">
        <v>2506.6</v>
      </c>
      <c r="R283" s="1">
        <v>2183.3333333333335</v>
      </c>
      <c r="S283" s="1">
        <v>2750</v>
      </c>
      <c r="T283" s="1">
        <v>566.66666666666652</v>
      </c>
      <c r="U283" s="1">
        <v>2150</v>
      </c>
      <c r="V283" s="1">
        <v>19140</v>
      </c>
      <c r="W283" s="1">
        <v>5855.091666666669</v>
      </c>
      <c r="X283" s="1">
        <v>3705.091666666669</v>
      </c>
      <c r="AB283" s="2" t="str">
        <f t="shared" si="4"/>
        <v>PASS</v>
      </c>
      <c r="AV283" s="1"/>
      <c r="AW283" s="1"/>
      <c r="AX283" s="1"/>
    </row>
    <row r="284" spans="1:50">
      <c r="A284" s="1" t="s">
        <v>308</v>
      </c>
      <c r="B284" s="1" t="s">
        <v>24</v>
      </c>
      <c r="C284" s="2">
        <v>46258.44450730324</v>
      </c>
      <c r="D284" s="2">
        <v>45194.074653993055</v>
      </c>
      <c r="E284" s="2">
        <v>46258.385604247684</v>
      </c>
      <c r="F284" s="1" t="s">
        <v>603</v>
      </c>
      <c r="G284" s="1" t="s">
        <v>25</v>
      </c>
      <c r="H284" s="3">
        <v>45193</v>
      </c>
      <c r="I284" s="1">
        <v>6429.9000000000005</v>
      </c>
      <c r="J284" s="1">
        <v>7310</v>
      </c>
      <c r="K284" s="1">
        <v>880.09999999999957</v>
      </c>
      <c r="L284" s="1">
        <v>2893.4</v>
      </c>
      <c r="M284" s="1">
        <v>4000</v>
      </c>
      <c r="N284" s="1">
        <v>1106.5999999999999</v>
      </c>
      <c r="O284" s="1">
        <v>448.31000000000006</v>
      </c>
      <c r="P284" s="1">
        <v>1280</v>
      </c>
      <c r="Q284" s="1">
        <v>831.68999999999994</v>
      </c>
      <c r="R284" s="1">
        <v>1840</v>
      </c>
      <c r="S284" s="1">
        <v>2280</v>
      </c>
      <c r="T284" s="1">
        <v>439.99999999999977</v>
      </c>
      <c r="U284" s="1">
        <v>2150</v>
      </c>
      <c r="V284" s="1">
        <v>14870</v>
      </c>
      <c r="W284" s="1">
        <v>3258.3899999999994</v>
      </c>
      <c r="X284" s="1">
        <v>1108.3899999999994</v>
      </c>
      <c r="AB284" s="2" t="str">
        <f t="shared" si="4"/>
        <v>PASS</v>
      </c>
      <c r="AV284" s="1"/>
      <c r="AW284" s="1"/>
      <c r="AX284" s="1"/>
    </row>
    <row r="285" spans="1:50">
      <c r="A285" s="1" t="s">
        <v>309</v>
      </c>
      <c r="B285" s="1" t="s">
        <v>24</v>
      </c>
      <c r="C285" s="2">
        <v>46258.444508425928</v>
      </c>
      <c r="D285" s="2">
        <v>45195.62703314815</v>
      </c>
      <c r="E285" s="2">
        <v>46258.385604340277</v>
      </c>
      <c r="F285" s="1" t="s">
        <v>603</v>
      </c>
      <c r="G285" s="1" t="s">
        <v>25</v>
      </c>
      <c r="H285" s="3">
        <v>45194</v>
      </c>
      <c r="I285" s="1">
        <v>5764.38</v>
      </c>
      <c r="J285" s="1">
        <v>8680</v>
      </c>
      <c r="K285" s="1">
        <v>2915.62</v>
      </c>
      <c r="L285" s="1">
        <v>3324.5999999999995</v>
      </c>
      <c r="M285" s="1">
        <v>6850</v>
      </c>
      <c r="N285" s="1">
        <v>3525.4000000000005</v>
      </c>
      <c r="O285" s="1">
        <v>656.71999999999991</v>
      </c>
      <c r="P285" s="1">
        <v>2160</v>
      </c>
      <c r="Q285" s="1">
        <v>1503.2800000000002</v>
      </c>
      <c r="R285" s="1">
        <v>2310.0000000000005</v>
      </c>
      <c r="S285" s="1">
        <v>2880</v>
      </c>
      <c r="T285" s="1">
        <v>569.99999999999955</v>
      </c>
      <c r="U285" s="1">
        <v>2150</v>
      </c>
      <c r="V285" s="1">
        <v>20570</v>
      </c>
      <c r="W285" s="1">
        <v>8514.3000000000011</v>
      </c>
      <c r="X285" s="1">
        <v>6364.3000000000011</v>
      </c>
      <c r="AB285" s="2" t="str">
        <f t="shared" si="4"/>
        <v>PASS</v>
      </c>
      <c r="AV285" s="1"/>
      <c r="AW285" s="1"/>
      <c r="AX285" s="1"/>
    </row>
    <row r="286" spans="1:50">
      <c r="A286" s="1" t="s">
        <v>310</v>
      </c>
      <c r="B286" s="1" t="s">
        <v>24</v>
      </c>
      <c r="C286" s="2">
        <v>46258.444509594905</v>
      </c>
      <c r="D286" s="2">
        <v>45196.034189791666</v>
      </c>
      <c r="E286" s="2">
        <v>46258.385604560186</v>
      </c>
      <c r="F286" s="1" t="s">
        <v>603</v>
      </c>
      <c r="G286" s="1" t="s">
        <v>25</v>
      </c>
      <c r="H286" s="3">
        <v>45195</v>
      </c>
      <c r="I286" s="1">
        <v>8726.7349999999969</v>
      </c>
      <c r="J286" s="1">
        <v>4980</v>
      </c>
      <c r="K286" s="1">
        <v>-3746.7349999999969</v>
      </c>
      <c r="L286" s="1">
        <v>3940.775000000001</v>
      </c>
      <c r="M286" s="1">
        <v>9300</v>
      </c>
      <c r="N286" s="1">
        <v>5359.2249999999995</v>
      </c>
      <c r="O286" s="1">
        <v>830.81000000000017</v>
      </c>
      <c r="P286" s="1">
        <v>1280</v>
      </c>
      <c r="Q286" s="1">
        <v>449.18999999999983</v>
      </c>
      <c r="R286" s="1">
        <v>2661.6666666666665</v>
      </c>
      <c r="S286" s="1">
        <v>3340</v>
      </c>
      <c r="T286" s="1">
        <v>678.33333333333348</v>
      </c>
      <c r="U286" s="1">
        <v>2150</v>
      </c>
      <c r="V286" s="1">
        <v>18900</v>
      </c>
      <c r="W286" s="1">
        <v>2740.0133333333356</v>
      </c>
      <c r="X286" s="1">
        <v>590.01333333333559</v>
      </c>
      <c r="AB286" s="2" t="str">
        <f t="shared" si="4"/>
        <v>PASS</v>
      </c>
      <c r="AV286" s="1"/>
      <c r="AW286" s="1"/>
      <c r="AX286" s="1"/>
    </row>
    <row r="287" spans="1:50">
      <c r="A287" s="1" t="s">
        <v>311</v>
      </c>
      <c r="B287" s="1" t="s">
        <v>24</v>
      </c>
      <c r="C287" s="2">
        <v>46258.444510856483</v>
      </c>
      <c r="D287" s="2">
        <v>45197.10156398148</v>
      </c>
      <c r="E287" s="2">
        <v>46258.385604629628</v>
      </c>
      <c r="F287" s="1" t="s">
        <v>603</v>
      </c>
      <c r="G287" s="1" t="s">
        <v>25</v>
      </c>
      <c r="H287" s="3">
        <v>45196</v>
      </c>
      <c r="I287" s="1">
        <v>6039.71</v>
      </c>
      <c r="J287" s="1">
        <v>9370</v>
      </c>
      <c r="K287" s="1">
        <v>3330.29</v>
      </c>
      <c r="L287" s="1">
        <v>3028.4</v>
      </c>
      <c r="M287" s="1">
        <v>6350</v>
      </c>
      <c r="N287" s="1">
        <v>3321.6</v>
      </c>
      <c r="O287" s="1">
        <v>1330.26</v>
      </c>
      <c r="P287" s="1">
        <v>1480</v>
      </c>
      <c r="Q287" s="1">
        <v>149.74</v>
      </c>
      <c r="R287" s="1">
        <v>2343.333333333333</v>
      </c>
      <c r="S287" s="1">
        <v>2990</v>
      </c>
      <c r="T287" s="1">
        <v>646.66666666666697</v>
      </c>
      <c r="U287" s="1">
        <v>2150</v>
      </c>
      <c r="V287" s="1">
        <v>20190</v>
      </c>
      <c r="W287" s="1">
        <v>7448.2966666666653</v>
      </c>
      <c r="X287" s="1">
        <v>5298.2966666666662</v>
      </c>
      <c r="AB287" s="2" t="str">
        <f t="shared" si="4"/>
        <v>PASS</v>
      </c>
      <c r="AV287" s="1"/>
      <c r="AW287" s="1"/>
      <c r="AX287" s="1"/>
    </row>
    <row r="288" spans="1:50">
      <c r="A288" s="1" t="s">
        <v>312</v>
      </c>
      <c r="B288" s="1" t="s">
        <v>24</v>
      </c>
      <c r="C288" s="2">
        <v>46258.44451199074</v>
      </c>
      <c r="D288" s="2">
        <v>45198.073350567131</v>
      </c>
      <c r="E288" s="2">
        <v>46258.385604699077</v>
      </c>
      <c r="F288" s="1" t="s">
        <v>603</v>
      </c>
      <c r="G288" s="1" t="s">
        <v>25</v>
      </c>
      <c r="H288" s="3">
        <v>45197</v>
      </c>
      <c r="I288" s="1">
        <v>6329.9000000000015</v>
      </c>
      <c r="J288" s="1">
        <v>8360</v>
      </c>
      <c r="K288" s="1">
        <v>2030.0999999999983</v>
      </c>
      <c r="L288" s="1">
        <v>4078.4749999999999</v>
      </c>
      <c r="M288" s="1">
        <v>6950</v>
      </c>
      <c r="N288" s="1">
        <v>2871.5250000000001</v>
      </c>
      <c r="O288" s="1">
        <v>702.18</v>
      </c>
      <c r="P288" s="1">
        <v>1780</v>
      </c>
      <c r="Q288" s="1">
        <v>1077.8200000000002</v>
      </c>
      <c r="R288" s="1">
        <v>1861.6666666666667</v>
      </c>
      <c r="S288" s="1">
        <v>2410</v>
      </c>
      <c r="T288" s="1">
        <v>548.33333333333326</v>
      </c>
      <c r="U288" s="1">
        <v>2150</v>
      </c>
      <c r="V288" s="1">
        <v>19500</v>
      </c>
      <c r="W288" s="1">
        <v>6527.7783333333309</v>
      </c>
      <c r="X288" s="1">
        <v>4377.7783333333309</v>
      </c>
      <c r="AB288" s="2" t="str">
        <f t="shared" si="4"/>
        <v>PASS</v>
      </c>
      <c r="AV288" s="1"/>
      <c r="AW288" s="1"/>
      <c r="AX288" s="1"/>
    </row>
    <row r="289" spans="1:50">
      <c r="A289" s="1" t="s">
        <v>313</v>
      </c>
      <c r="B289" s="1" t="s">
        <v>24</v>
      </c>
      <c r="C289" s="2">
        <v>46258.444513009257</v>
      </c>
      <c r="D289" s="2">
        <v>45199.073639050926</v>
      </c>
      <c r="E289" s="2">
        <v>46258.385604780095</v>
      </c>
      <c r="F289" s="1" t="s">
        <v>603</v>
      </c>
      <c r="G289" s="1" t="s">
        <v>25</v>
      </c>
      <c r="H289" s="3">
        <v>45198</v>
      </c>
      <c r="I289" s="1">
        <v>9561.1450000000004</v>
      </c>
      <c r="J289" s="1">
        <v>12320</v>
      </c>
      <c r="K289" s="1">
        <v>2758.8549999999996</v>
      </c>
      <c r="L289" s="1">
        <v>4997.6249999999991</v>
      </c>
      <c r="M289" s="1">
        <v>10240</v>
      </c>
      <c r="N289" s="1">
        <v>5242.3750000000009</v>
      </c>
      <c r="O289" s="1">
        <v>911.97999999999979</v>
      </c>
      <c r="P289" s="1">
        <v>2360</v>
      </c>
      <c r="Q289" s="1">
        <v>1448.02</v>
      </c>
      <c r="R289" s="1">
        <v>2281.6666666666665</v>
      </c>
      <c r="S289" s="1">
        <v>2930</v>
      </c>
      <c r="T289" s="1">
        <v>648.33333333333348</v>
      </c>
      <c r="U289" s="1">
        <v>2150</v>
      </c>
      <c r="V289" s="1">
        <v>27850</v>
      </c>
      <c r="W289" s="1">
        <v>10097.583333333334</v>
      </c>
      <c r="X289" s="1">
        <v>7947.5833333333348</v>
      </c>
      <c r="AB289" s="2" t="str">
        <f t="shared" si="4"/>
        <v>PASS</v>
      </c>
      <c r="AV289" s="1"/>
      <c r="AW289" s="1"/>
      <c r="AX289" s="1"/>
    </row>
    <row r="290" spans="1:50">
      <c r="A290" s="1" t="s">
        <v>314</v>
      </c>
      <c r="B290" s="1" t="s">
        <v>24</v>
      </c>
      <c r="C290" s="2">
        <v>46258.444514166666</v>
      </c>
      <c r="D290" s="2">
        <v>45200.626771354167</v>
      </c>
      <c r="E290" s="2">
        <v>46258.385604849536</v>
      </c>
      <c r="F290" s="1" t="s">
        <v>603</v>
      </c>
      <c r="G290" s="1" t="s">
        <v>25</v>
      </c>
      <c r="H290" s="3">
        <v>45199</v>
      </c>
      <c r="I290" s="1">
        <v>7984.7499999999964</v>
      </c>
      <c r="J290" s="1">
        <v>6530</v>
      </c>
      <c r="K290" s="1">
        <v>-1454.7499999999973</v>
      </c>
      <c r="L290" s="1">
        <v>4228.4500000000007</v>
      </c>
      <c r="M290" s="1">
        <v>6410</v>
      </c>
      <c r="N290" s="1">
        <v>2181.5499999999993</v>
      </c>
      <c r="O290" s="1">
        <v>1063.1000000000001</v>
      </c>
      <c r="P290" s="1">
        <v>3140</v>
      </c>
      <c r="Q290" s="1">
        <v>2076.8999999999996</v>
      </c>
      <c r="R290" s="1">
        <v>2935.0000000000005</v>
      </c>
      <c r="S290" s="1">
        <v>3710</v>
      </c>
      <c r="T290" s="1">
        <v>774.99999999999955</v>
      </c>
      <c r="U290" s="1">
        <v>2150</v>
      </c>
      <c r="V290" s="1">
        <v>19790</v>
      </c>
      <c r="W290" s="1">
        <v>3578.7000000000012</v>
      </c>
      <c r="X290" s="1">
        <v>1428.7000000000012</v>
      </c>
      <c r="AB290" s="2" t="str">
        <f t="shared" si="4"/>
        <v>PASS</v>
      </c>
      <c r="AV290" s="1"/>
      <c r="AW290" s="1"/>
      <c r="AX290" s="1"/>
    </row>
    <row r="291" spans="1:50">
      <c r="A291" s="1" t="s">
        <v>315</v>
      </c>
      <c r="B291" s="1" t="s">
        <v>24</v>
      </c>
      <c r="C291" s="2">
        <v>46258.444515358795</v>
      </c>
      <c r="D291" s="2">
        <v>45201.00941658565</v>
      </c>
      <c r="E291" s="2">
        <v>46258.385598506946</v>
      </c>
      <c r="F291" s="1" t="s">
        <v>604</v>
      </c>
      <c r="G291" s="1" t="s">
        <v>25</v>
      </c>
      <c r="H291" s="3">
        <v>45200</v>
      </c>
      <c r="I291" s="1">
        <v>6392.0350000000008</v>
      </c>
      <c r="J291" s="1">
        <v>6510</v>
      </c>
      <c r="K291" s="1">
        <v>117.96499999999924</v>
      </c>
      <c r="L291" s="1">
        <v>2391.9000000000005</v>
      </c>
      <c r="M291" s="1">
        <v>4200</v>
      </c>
      <c r="N291" s="1">
        <v>1808.0999999999997</v>
      </c>
      <c r="O291" s="1">
        <v>1225.7699999999998</v>
      </c>
      <c r="P291" s="1">
        <v>3360</v>
      </c>
      <c r="Q291" s="1">
        <v>2134.2300000000005</v>
      </c>
      <c r="R291" s="1">
        <v>2213.3333333333335</v>
      </c>
      <c r="S291" s="1">
        <v>2830</v>
      </c>
      <c r="T291" s="1">
        <v>616.66666666666652</v>
      </c>
      <c r="U291" s="1">
        <v>2150</v>
      </c>
      <c r="V291" s="1">
        <v>16900</v>
      </c>
      <c r="W291" s="1">
        <v>4676.9616666666661</v>
      </c>
      <c r="X291" s="1">
        <v>2526.9616666666661</v>
      </c>
      <c r="AB291" s="2" t="str">
        <f t="shared" si="4"/>
        <v>PASS</v>
      </c>
      <c r="AV291" s="1"/>
      <c r="AW291" s="1"/>
      <c r="AX291" s="1"/>
    </row>
    <row r="292" spans="1:50">
      <c r="A292" s="1" t="s">
        <v>316</v>
      </c>
      <c r="B292" s="1" t="s">
        <v>24</v>
      </c>
      <c r="C292" s="2">
        <v>46258.444516620373</v>
      </c>
      <c r="D292" s="2">
        <v>45202.035379189816</v>
      </c>
      <c r="E292" s="2">
        <v>46258.385598564812</v>
      </c>
      <c r="F292" s="1" t="s">
        <v>604</v>
      </c>
      <c r="G292" s="1" t="s">
        <v>25</v>
      </c>
      <c r="H292" s="3">
        <v>45201</v>
      </c>
      <c r="I292" s="1">
        <v>6617.44</v>
      </c>
      <c r="J292" s="1">
        <v>8710</v>
      </c>
      <c r="K292" s="1">
        <v>2092.5600000000004</v>
      </c>
      <c r="L292" s="1">
        <v>5858.4150000000009</v>
      </c>
      <c r="M292" s="1">
        <v>10050</v>
      </c>
      <c r="N292" s="1">
        <v>4191.5849999999991</v>
      </c>
      <c r="O292" s="1">
        <v>947.31999999999948</v>
      </c>
      <c r="P292" s="1">
        <v>2360</v>
      </c>
      <c r="Q292" s="1">
        <v>1412.6800000000005</v>
      </c>
      <c r="R292" s="1">
        <v>2508.3333333333335</v>
      </c>
      <c r="S292" s="1">
        <v>3150</v>
      </c>
      <c r="T292" s="1">
        <v>641.66666666666652</v>
      </c>
      <c r="U292" s="1">
        <v>2150</v>
      </c>
      <c r="V292" s="1">
        <v>24270</v>
      </c>
      <c r="W292" s="1">
        <v>8338.4916666666668</v>
      </c>
      <c r="X292" s="1">
        <v>6188.4916666666668</v>
      </c>
      <c r="AB292" s="2" t="str">
        <f t="shared" si="4"/>
        <v>PASS</v>
      </c>
      <c r="AV292" s="1"/>
      <c r="AW292" s="1"/>
      <c r="AX292" s="1"/>
    </row>
    <row r="293" spans="1:50">
      <c r="A293" s="1" t="s">
        <v>317</v>
      </c>
      <c r="B293" s="1" t="s">
        <v>24</v>
      </c>
      <c r="C293" s="2">
        <v>46258.444517824071</v>
      </c>
      <c r="D293" s="2">
        <v>45203.624477986108</v>
      </c>
      <c r="E293" s="2">
        <v>46258.385598645837</v>
      </c>
      <c r="F293" s="1" t="s">
        <v>604</v>
      </c>
      <c r="G293" s="1" t="s">
        <v>25</v>
      </c>
      <c r="H293" s="3">
        <v>45202</v>
      </c>
      <c r="I293" s="1">
        <v>6731.8050000000012</v>
      </c>
      <c r="J293" s="1">
        <v>6770</v>
      </c>
      <c r="K293" s="1">
        <v>38.194999999998799</v>
      </c>
      <c r="L293" s="1">
        <v>3204.9249999999997</v>
      </c>
      <c r="M293" s="1">
        <v>5150</v>
      </c>
      <c r="N293" s="1">
        <v>1945.0750000000005</v>
      </c>
      <c r="O293" s="1">
        <v>867.7700000000001</v>
      </c>
      <c r="P293" s="1">
        <v>2360</v>
      </c>
      <c r="Q293" s="1">
        <v>1492.23</v>
      </c>
      <c r="R293" s="1">
        <v>2170</v>
      </c>
      <c r="S293" s="1">
        <v>2720</v>
      </c>
      <c r="T293" s="1">
        <v>550</v>
      </c>
      <c r="U293" s="1">
        <v>2150</v>
      </c>
      <c r="V293" s="1">
        <v>17000</v>
      </c>
      <c r="W293" s="1">
        <v>4025.4999999999991</v>
      </c>
      <c r="X293" s="1">
        <v>1875.4999999999991</v>
      </c>
      <c r="AB293" s="2" t="str">
        <f t="shared" si="4"/>
        <v>PASS</v>
      </c>
      <c r="AV293" s="1"/>
      <c r="AW293" s="1"/>
      <c r="AX293" s="1"/>
    </row>
    <row r="294" spans="1:50">
      <c r="A294" s="1" t="s">
        <v>318</v>
      </c>
      <c r="B294" s="1" t="s">
        <v>24</v>
      </c>
      <c r="C294" s="2">
        <v>46258.444519328703</v>
      </c>
      <c r="D294" s="2">
        <v>45204.047361840276</v>
      </c>
      <c r="E294" s="2">
        <v>46258.385598726854</v>
      </c>
      <c r="F294" s="1" t="s">
        <v>604</v>
      </c>
      <c r="G294" s="1" t="s">
        <v>25</v>
      </c>
      <c r="H294" s="3">
        <v>45203</v>
      </c>
      <c r="I294" s="1">
        <v>5978.1349999999993</v>
      </c>
      <c r="J294" s="1">
        <v>6490</v>
      </c>
      <c r="K294" s="1">
        <v>511.86500000000075</v>
      </c>
      <c r="L294" s="1">
        <v>1963.2750000000001</v>
      </c>
      <c r="M294" s="1">
        <v>4150</v>
      </c>
      <c r="N294" s="1">
        <v>2186.7249999999999</v>
      </c>
      <c r="O294" s="1">
        <v>430.46999999999991</v>
      </c>
      <c r="P294" s="1">
        <v>1360</v>
      </c>
      <c r="Q294" s="1">
        <v>929.53000000000009</v>
      </c>
      <c r="R294" s="1">
        <v>754.99999999999989</v>
      </c>
      <c r="S294" s="1">
        <v>1020</v>
      </c>
      <c r="T294" s="1">
        <v>265.00000000000011</v>
      </c>
      <c r="U294" s="1">
        <v>2150</v>
      </c>
      <c r="V294" s="1">
        <v>13020</v>
      </c>
      <c r="W294" s="1">
        <v>3893.1200000000008</v>
      </c>
      <c r="X294" s="1">
        <v>1743.1200000000008</v>
      </c>
      <c r="AB294" s="2" t="str">
        <f t="shared" si="4"/>
        <v>PASS</v>
      </c>
      <c r="AV294" s="1"/>
      <c r="AW294" s="1"/>
      <c r="AX294" s="1"/>
    </row>
    <row r="295" spans="1:50">
      <c r="A295" s="1" t="s">
        <v>319</v>
      </c>
      <c r="B295" s="1" t="s">
        <v>24</v>
      </c>
      <c r="C295" s="2">
        <v>46258.444520636571</v>
      </c>
      <c r="D295" s="2">
        <v>45205.023735925926</v>
      </c>
      <c r="E295" s="2">
        <v>46258.385599062502</v>
      </c>
      <c r="F295" s="1" t="s">
        <v>604</v>
      </c>
      <c r="G295" s="1" t="s">
        <v>25</v>
      </c>
      <c r="H295" s="3">
        <v>45204</v>
      </c>
      <c r="I295" s="1">
        <v>4523.1050000000014</v>
      </c>
      <c r="J295" s="1">
        <v>6000</v>
      </c>
      <c r="K295" s="1">
        <v>1476.8949999999986</v>
      </c>
      <c r="L295" s="1">
        <v>1263.1249999999998</v>
      </c>
      <c r="M295" s="1">
        <v>2200</v>
      </c>
      <c r="N295" s="1">
        <v>936.87500000000011</v>
      </c>
      <c r="O295" s="1">
        <v>1167.42</v>
      </c>
      <c r="P295" s="1">
        <v>2940</v>
      </c>
      <c r="Q295" s="1">
        <v>1772.58</v>
      </c>
      <c r="R295" s="1">
        <v>2200</v>
      </c>
      <c r="S295" s="1">
        <v>2780</v>
      </c>
      <c r="T295" s="1">
        <v>580</v>
      </c>
      <c r="U295" s="1">
        <v>2150</v>
      </c>
      <c r="V295" s="1">
        <v>13920</v>
      </c>
      <c r="W295" s="1">
        <v>4766.3499999999985</v>
      </c>
      <c r="X295" s="1">
        <v>2616.3499999999985</v>
      </c>
      <c r="AB295" s="2" t="str">
        <f t="shared" si="4"/>
        <v>PASS</v>
      </c>
      <c r="AV295" s="1"/>
      <c r="AW295" s="1"/>
      <c r="AX295" s="1"/>
    </row>
    <row r="296" spans="1:50">
      <c r="A296" s="1" t="s">
        <v>320</v>
      </c>
      <c r="B296" s="1" t="s">
        <v>24</v>
      </c>
      <c r="C296" s="2">
        <v>46258.444521701385</v>
      </c>
      <c r="D296" s="2">
        <v>45206.067218576391</v>
      </c>
      <c r="E296" s="2">
        <v>46258.385599143519</v>
      </c>
      <c r="F296" s="1" t="s">
        <v>604</v>
      </c>
      <c r="G296" s="1" t="s">
        <v>25</v>
      </c>
      <c r="H296" s="3">
        <v>45205</v>
      </c>
      <c r="I296" s="1">
        <v>6249.6349999999993</v>
      </c>
      <c r="J296" s="1">
        <v>8030</v>
      </c>
      <c r="K296" s="1">
        <v>1780.3650000000007</v>
      </c>
      <c r="L296" s="1">
        <v>2212.9749999999995</v>
      </c>
      <c r="M296" s="1">
        <v>5000</v>
      </c>
      <c r="N296" s="1">
        <v>2787.0250000000005</v>
      </c>
      <c r="O296" s="1">
        <v>1292.69</v>
      </c>
      <c r="P296" s="1">
        <v>5700</v>
      </c>
      <c r="Q296" s="1">
        <v>4407.3099999999995</v>
      </c>
      <c r="R296" s="1">
        <v>2001.6666666666663</v>
      </c>
      <c r="S296" s="1">
        <v>2530</v>
      </c>
      <c r="T296" s="1">
        <v>528.33333333333348</v>
      </c>
      <c r="U296" s="1">
        <v>2150</v>
      </c>
      <c r="V296" s="1">
        <v>21260</v>
      </c>
      <c r="W296" s="1">
        <v>9503.0333333333347</v>
      </c>
      <c r="X296" s="1">
        <v>7353.0333333333347</v>
      </c>
      <c r="AB296" s="2" t="str">
        <f t="shared" si="4"/>
        <v>PASS</v>
      </c>
      <c r="AV296" s="1"/>
      <c r="AW296" s="1"/>
      <c r="AX296" s="1"/>
    </row>
    <row r="297" spans="1:50">
      <c r="A297" s="1" t="s">
        <v>321</v>
      </c>
      <c r="B297" s="1" t="s">
        <v>24</v>
      </c>
      <c r="C297" s="2">
        <v>46258.444523136575</v>
      </c>
      <c r="D297" s="2">
        <v>45207.029805138889</v>
      </c>
      <c r="E297" s="2">
        <v>46258.385599212961</v>
      </c>
      <c r="F297" s="1" t="s">
        <v>604</v>
      </c>
      <c r="G297" s="1" t="s">
        <v>25</v>
      </c>
      <c r="H297" s="3">
        <v>45206</v>
      </c>
      <c r="I297" s="1">
        <v>7000.45</v>
      </c>
      <c r="J297" s="1">
        <v>10080</v>
      </c>
      <c r="K297" s="1">
        <v>3079.55</v>
      </c>
      <c r="L297" s="1">
        <v>1932.075</v>
      </c>
      <c r="M297" s="1">
        <v>3150</v>
      </c>
      <c r="N297" s="1">
        <v>1217.9250000000002</v>
      </c>
      <c r="O297" s="1">
        <v>598.99999999999977</v>
      </c>
      <c r="P297" s="1">
        <v>1000</v>
      </c>
      <c r="Q297" s="1">
        <v>401.00000000000023</v>
      </c>
      <c r="R297" s="1">
        <v>2736.666666666667</v>
      </c>
      <c r="S297" s="1">
        <v>3450</v>
      </c>
      <c r="T297" s="1">
        <v>713.33333333333303</v>
      </c>
      <c r="U297" s="1">
        <v>2150</v>
      </c>
      <c r="V297" s="1">
        <v>17680</v>
      </c>
      <c r="W297" s="1">
        <v>5411.8083333333334</v>
      </c>
      <c r="X297" s="1">
        <v>3261.8083333333334</v>
      </c>
      <c r="AB297" s="2" t="str">
        <f t="shared" si="4"/>
        <v>PASS</v>
      </c>
      <c r="AV297" s="1"/>
      <c r="AW297" s="1"/>
      <c r="AX297" s="1"/>
    </row>
    <row r="298" spans="1:50">
      <c r="A298" s="1" t="s">
        <v>322</v>
      </c>
      <c r="B298" s="1" t="s">
        <v>24</v>
      </c>
      <c r="C298" s="2">
        <v>46258.444524652776</v>
      </c>
      <c r="D298" s="2">
        <v>45208.040672523151</v>
      </c>
      <c r="E298" s="2">
        <v>46258.385599305555</v>
      </c>
      <c r="F298" s="1" t="s">
        <v>604</v>
      </c>
      <c r="G298" s="1" t="s">
        <v>25</v>
      </c>
      <c r="H298" s="3">
        <v>45207</v>
      </c>
      <c r="I298" s="1">
        <v>5508.3500000000013</v>
      </c>
      <c r="J298" s="1">
        <v>6870</v>
      </c>
      <c r="K298" s="1">
        <v>1361.6499999999987</v>
      </c>
      <c r="L298" s="1">
        <v>2240.7500000000009</v>
      </c>
      <c r="M298" s="1">
        <v>2350</v>
      </c>
      <c r="N298" s="1">
        <v>109.24999999999908</v>
      </c>
      <c r="O298" s="1">
        <v>776.11999999999989</v>
      </c>
      <c r="P298" s="1">
        <v>2000</v>
      </c>
      <c r="Q298" s="1">
        <v>1223.8800000000001</v>
      </c>
      <c r="R298" s="1">
        <v>2291.666666666667</v>
      </c>
      <c r="S298" s="1">
        <v>2900</v>
      </c>
      <c r="T298" s="1">
        <v>608.33333333333303</v>
      </c>
      <c r="U298" s="1">
        <v>2150</v>
      </c>
      <c r="V298" s="1">
        <v>14120</v>
      </c>
      <c r="W298" s="1">
        <v>3303.113333333331</v>
      </c>
      <c r="X298" s="1">
        <v>1153.113333333331</v>
      </c>
      <c r="AB298" s="2" t="str">
        <f t="shared" si="4"/>
        <v>PASS</v>
      </c>
      <c r="AV298" s="1"/>
      <c r="AW298" s="1"/>
      <c r="AX298" s="1"/>
    </row>
    <row r="299" spans="1:50">
      <c r="A299" s="1" t="s">
        <v>323</v>
      </c>
      <c r="B299" s="1" t="s">
        <v>24</v>
      </c>
      <c r="C299" s="2">
        <v>46258.444526539352</v>
      </c>
      <c r="D299" s="2">
        <v>45208.990230729163</v>
      </c>
      <c r="E299" s="2">
        <v>46258.385599363428</v>
      </c>
      <c r="F299" s="1" t="s">
        <v>604</v>
      </c>
      <c r="G299" s="1" t="s">
        <v>25</v>
      </c>
      <c r="H299" s="3">
        <v>45208</v>
      </c>
      <c r="I299" s="1">
        <v>6465.75</v>
      </c>
      <c r="J299" s="1">
        <v>6840</v>
      </c>
      <c r="K299" s="1">
        <v>374.25</v>
      </c>
      <c r="L299" s="1">
        <v>2049.75</v>
      </c>
      <c r="M299" s="1">
        <v>3450</v>
      </c>
      <c r="N299" s="1">
        <v>1400.25</v>
      </c>
      <c r="O299" s="1">
        <v>230.95</v>
      </c>
      <c r="P299" s="1">
        <v>800</v>
      </c>
      <c r="Q299" s="1">
        <v>569.04999999999995</v>
      </c>
      <c r="R299" s="1">
        <v>1140</v>
      </c>
      <c r="S299" s="1">
        <v>1420</v>
      </c>
      <c r="T299" s="1">
        <v>280</v>
      </c>
      <c r="U299" s="1">
        <v>2150</v>
      </c>
      <c r="V299" s="1">
        <v>12510</v>
      </c>
      <c r="W299" s="1">
        <v>2623.55</v>
      </c>
      <c r="X299" s="1">
        <v>473.55000000000018</v>
      </c>
      <c r="AB299" s="2" t="str">
        <f t="shared" si="4"/>
        <v>PASS</v>
      </c>
      <c r="AV299" s="1"/>
      <c r="AW299" s="1"/>
      <c r="AX299" s="1"/>
    </row>
    <row r="300" spans="1:50">
      <c r="A300" s="1" t="s">
        <v>324</v>
      </c>
      <c r="B300" s="1" t="s">
        <v>24</v>
      </c>
      <c r="C300" s="2">
        <v>46258.444528032407</v>
      </c>
      <c r="D300" s="2">
        <v>45210.020977118053</v>
      </c>
      <c r="E300" s="2">
        <v>46258.38559943287</v>
      </c>
      <c r="F300" s="1" t="s">
        <v>604</v>
      </c>
      <c r="G300" s="1" t="s">
        <v>25</v>
      </c>
      <c r="H300" s="3">
        <v>45209</v>
      </c>
      <c r="I300" s="1">
        <v>6016.0650000000005</v>
      </c>
      <c r="J300" s="1">
        <v>6660</v>
      </c>
      <c r="K300" s="1">
        <v>643.93499999999949</v>
      </c>
      <c r="L300" s="1">
        <v>2226.6999999999998</v>
      </c>
      <c r="M300" s="1">
        <v>3600</v>
      </c>
      <c r="N300" s="1">
        <v>1373.3000000000002</v>
      </c>
      <c r="O300" s="1">
        <v>730.16000000000008</v>
      </c>
      <c r="P300" s="1">
        <v>1280</v>
      </c>
      <c r="Q300" s="1">
        <v>549.83999999999992</v>
      </c>
      <c r="R300" s="1">
        <v>1763.3333333333333</v>
      </c>
      <c r="S300" s="1">
        <v>2240</v>
      </c>
      <c r="T300" s="1">
        <v>476.66666666666674</v>
      </c>
      <c r="U300" s="1">
        <v>2150</v>
      </c>
      <c r="V300" s="1">
        <v>13780</v>
      </c>
      <c r="W300" s="1">
        <v>3043.7416666666668</v>
      </c>
      <c r="X300" s="1">
        <v>893.74166666666667</v>
      </c>
      <c r="AB300" s="2" t="str">
        <f t="shared" si="4"/>
        <v>PASS</v>
      </c>
      <c r="AV300" s="1"/>
      <c r="AW300" s="1"/>
      <c r="AX300" s="1"/>
    </row>
    <row r="301" spans="1:50">
      <c r="A301" s="1" t="s">
        <v>325</v>
      </c>
      <c r="B301" s="1" t="s">
        <v>24</v>
      </c>
      <c r="C301" s="2">
        <v>46258.444529641201</v>
      </c>
      <c r="D301" s="2">
        <v>45211.986107511577</v>
      </c>
      <c r="E301" s="2">
        <v>46258.385599837966</v>
      </c>
      <c r="F301" s="1" t="s">
        <v>604</v>
      </c>
      <c r="G301" s="1" t="s">
        <v>25</v>
      </c>
      <c r="H301" s="3">
        <v>45210</v>
      </c>
      <c r="I301" s="1">
        <v>7980.5050000000028</v>
      </c>
      <c r="J301" s="1">
        <v>7890</v>
      </c>
      <c r="K301" s="1">
        <v>-90.505000000003747</v>
      </c>
      <c r="L301" s="1">
        <v>1906.9000000000003</v>
      </c>
      <c r="M301" s="1">
        <v>4880</v>
      </c>
      <c r="N301" s="1">
        <v>2973.0999999999995</v>
      </c>
      <c r="O301" s="1">
        <v>1209.22</v>
      </c>
      <c r="P301" s="1">
        <v>4360</v>
      </c>
      <c r="Q301" s="1">
        <v>3150.7799999999997</v>
      </c>
      <c r="R301" s="1">
        <v>2332.5</v>
      </c>
      <c r="S301" s="1">
        <v>2900</v>
      </c>
      <c r="T301" s="1">
        <v>567.5</v>
      </c>
      <c r="U301" s="1">
        <v>2150</v>
      </c>
      <c r="V301" s="1">
        <v>20030</v>
      </c>
      <c r="W301" s="1">
        <v>6600.8749999999955</v>
      </c>
      <c r="X301" s="1">
        <v>4450.8749999999955</v>
      </c>
      <c r="AB301" s="2" t="str">
        <f t="shared" si="4"/>
        <v>PASS</v>
      </c>
      <c r="AV301" s="1"/>
      <c r="AW301" s="1"/>
      <c r="AX301" s="1"/>
    </row>
    <row r="302" spans="1:50">
      <c r="A302" s="1" t="s">
        <v>326</v>
      </c>
      <c r="B302" s="1" t="s">
        <v>24</v>
      </c>
      <c r="C302" s="2">
        <v>46258.444530960645</v>
      </c>
      <c r="D302" s="2">
        <v>45212.067677523148</v>
      </c>
      <c r="E302" s="2">
        <v>46258.385599918984</v>
      </c>
      <c r="F302" s="1" t="s">
        <v>604</v>
      </c>
      <c r="G302" s="1" t="s">
        <v>25</v>
      </c>
      <c r="H302" s="3">
        <v>45211</v>
      </c>
      <c r="I302" s="1">
        <v>6973.0499999999984</v>
      </c>
      <c r="J302" s="1">
        <v>7480</v>
      </c>
      <c r="K302" s="1">
        <v>506.95000000000158</v>
      </c>
      <c r="L302" s="1">
        <v>2289.8249999999994</v>
      </c>
      <c r="M302" s="1">
        <v>4380</v>
      </c>
      <c r="N302" s="1">
        <v>2090.1750000000006</v>
      </c>
      <c r="O302" s="1">
        <v>733.18000000000006</v>
      </c>
      <c r="P302" s="1">
        <v>1580</v>
      </c>
      <c r="Q302" s="1">
        <v>846.81999999999994</v>
      </c>
      <c r="R302" s="1">
        <v>2423.333333333333</v>
      </c>
      <c r="S302" s="1">
        <v>3050</v>
      </c>
      <c r="T302" s="1">
        <v>626.66666666666697</v>
      </c>
      <c r="U302" s="1">
        <v>2150</v>
      </c>
      <c r="V302" s="1">
        <v>16490</v>
      </c>
      <c r="W302" s="1">
        <v>4070.6116666666694</v>
      </c>
      <c r="X302" s="1">
        <v>1920.6116666666696</v>
      </c>
      <c r="AB302" s="2" t="str">
        <f t="shared" si="4"/>
        <v>PASS</v>
      </c>
      <c r="AV302" s="1"/>
      <c r="AW302" s="1"/>
      <c r="AX302" s="1"/>
    </row>
    <row r="303" spans="1:50">
      <c r="A303" s="1" t="s">
        <v>327</v>
      </c>
      <c r="B303" s="1" t="s">
        <v>24</v>
      </c>
      <c r="C303" s="2">
        <v>46258.444532349538</v>
      </c>
      <c r="D303" s="2">
        <v>45213.028967523147</v>
      </c>
      <c r="E303" s="2">
        <v>46258.385599988425</v>
      </c>
      <c r="F303" s="1" t="s">
        <v>604</v>
      </c>
      <c r="G303" s="1" t="s">
        <v>25</v>
      </c>
      <c r="H303" s="3">
        <v>45212</v>
      </c>
      <c r="I303" s="1">
        <v>5765.4150000000009</v>
      </c>
      <c r="J303" s="1">
        <v>5960</v>
      </c>
      <c r="K303" s="1">
        <v>194.58499999999913</v>
      </c>
      <c r="L303" s="1">
        <v>3876.625</v>
      </c>
      <c r="M303" s="1">
        <v>6850</v>
      </c>
      <c r="N303" s="1">
        <v>2973.375</v>
      </c>
      <c r="O303" s="1">
        <v>730.3000000000003</v>
      </c>
      <c r="P303" s="1">
        <v>1800</v>
      </c>
      <c r="Q303" s="1">
        <v>1069.6999999999998</v>
      </c>
      <c r="R303" s="1">
        <v>2196.6666666666665</v>
      </c>
      <c r="S303" s="1">
        <v>2750</v>
      </c>
      <c r="T303" s="1">
        <v>553.33333333333348</v>
      </c>
      <c r="U303" s="1">
        <v>2150</v>
      </c>
      <c r="V303" s="1">
        <v>17360</v>
      </c>
      <c r="W303" s="1">
        <v>4790.993333333332</v>
      </c>
      <c r="X303" s="1">
        <v>2640.993333333332</v>
      </c>
      <c r="AB303" s="2" t="str">
        <f t="shared" si="4"/>
        <v>PASS</v>
      </c>
      <c r="AV303" s="1"/>
      <c r="AW303" s="1"/>
      <c r="AX303" s="1"/>
    </row>
    <row r="304" spans="1:50">
      <c r="A304" s="1" t="s">
        <v>328</v>
      </c>
      <c r="B304" s="1" t="s">
        <v>24</v>
      </c>
      <c r="C304" s="2">
        <v>46258.444534189817</v>
      </c>
      <c r="D304" s="2">
        <v>45214.016429629628</v>
      </c>
      <c r="E304" s="2">
        <v>46258.385600081019</v>
      </c>
      <c r="F304" s="1" t="s">
        <v>604</v>
      </c>
      <c r="G304" s="1" t="s">
        <v>25</v>
      </c>
      <c r="H304" s="3">
        <v>45213</v>
      </c>
      <c r="I304" s="1">
        <v>5830.8500000000013</v>
      </c>
      <c r="J304" s="1">
        <v>6230</v>
      </c>
      <c r="K304" s="1">
        <v>399.14999999999873</v>
      </c>
      <c r="L304" s="1">
        <v>2793.0000000000018</v>
      </c>
      <c r="M304" s="1">
        <v>4750</v>
      </c>
      <c r="N304" s="1">
        <v>1956.9999999999984</v>
      </c>
      <c r="O304" s="1">
        <v>607.8599999999999</v>
      </c>
      <c r="P304" s="1">
        <v>1480</v>
      </c>
      <c r="Q304" s="1">
        <v>872.1400000000001</v>
      </c>
      <c r="R304" s="1">
        <v>1339.1666666666663</v>
      </c>
      <c r="S304" s="1">
        <v>1710</v>
      </c>
      <c r="T304" s="1">
        <v>370.83333333333343</v>
      </c>
      <c r="U304" s="1">
        <v>2150</v>
      </c>
      <c r="V304" s="1">
        <v>14170</v>
      </c>
      <c r="W304" s="1">
        <v>3599.1233333333307</v>
      </c>
      <c r="X304" s="1">
        <v>1449.1233333333307</v>
      </c>
      <c r="AB304" s="2" t="str">
        <f t="shared" si="4"/>
        <v>PASS</v>
      </c>
      <c r="AV304" s="1"/>
      <c r="AW304" s="1"/>
      <c r="AX304" s="1"/>
    </row>
    <row r="305" spans="1:50">
      <c r="A305" s="1" t="s">
        <v>329</v>
      </c>
      <c r="B305" s="1" t="s">
        <v>24</v>
      </c>
      <c r="C305" s="2">
        <v>46258.444535694442</v>
      </c>
      <c r="D305" s="2">
        <v>45215.032687430554</v>
      </c>
      <c r="E305" s="2">
        <v>46258.385600162037</v>
      </c>
      <c r="F305" s="1" t="s">
        <v>604</v>
      </c>
      <c r="G305" s="1" t="s">
        <v>25</v>
      </c>
      <c r="H305" s="3">
        <v>45214</v>
      </c>
      <c r="I305" s="1">
        <v>8303.42</v>
      </c>
      <c r="J305" s="1">
        <v>7930</v>
      </c>
      <c r="K305" s="1">
        <v>-373.42000000000007</v>
      </c>
      <c r="L305" s="1">
        <v>3924.85</v>
      </c>
      <c r="M305" s="1">
        <v>5750</v>
      </c>
      <c r="N305" s="1">
        <v>1825.1499999999996</v>
      </c>
      <c r="O305" s="1">
        <v>883.3</v>
      </c>
      <c r="P305" s="1">
        <v>2680</v>
      </c>
      <c r="Q305" s="1">
        <v>1796.7000000000003</v>
      </c>
      <c r="R305" s="1">
        <v>2146.6666666666665</v>
      </c>
      <c r="S305" s="1">
        <v>2740</v>
      </c>
      <c r="T305" s="1">
        <v>593.33333333333348</v>
      </c>
      <c r="U305" s="1">
        <v>2150</v>
      </c>
      <c r="V305" s="1">
        <v>19100</v>
      </c>
      <c r="W305" s="1">
        <v>3841.7633333333338</v>
      </c>
      <c r="X305" s="1">
        <v>1691.7633333333331</v>
      </c>
      <c r="AB305" s="2" t="str">
        <f t="shared" si="4"/>
        <v>PASS</v>
      </c>
      <c r="AV305" s="1"/>
      <c r="AW305" s="1"/>
      <c r="AX305" s="1"/>
    </row>
    <row r="306" spans="1:50">
      <c r="A306" s="1" t="s">
        <v>330</v>
      </c>
      <c r="B306" s="1" t="s">
        <v>24</v>
      </c>
      <c r="C306" s="2">
        <v>46258.44453734954</v>
      </c>
      <c r="D306" s="2">
        <v>45216.007168819444</v>
      </c>
      <c r="E306" s="2">
        <v>46258.385600243055</v>
      </c>
      <c r="F306" s="1" t="s">
        <v>604</v>
      </c>
      <c r="G306" s="1" t="s">
        <v>25</v>
      </c>
      <c r="H306" s="3">
        <v>45215</v>
      </c>
      <c r="I306" s="1">
        <v>6897.4800000000014</v>
      </c>
      <c r="J306" s="1">
        <v>5750</v>
      </c>
      <c r="K306" s="1">
        <v>-1147.4800000000014</v>
      </c>
      <c r="L306" s="1">
        <v>969.38499999999965</v>
      </c>
      <c r="M306" s="1">
        <v>2200</v>
      </c>
      <c r="N306" s="1">
        <v>1230.6150000000002</v>
      </c>
      <c r="O306" s="1">
        <v>726.04000000000042</v>
      </c>
      <c r="P306" s="1">
        <v>1080</v>
      </c>
      <c r="Q306" s="1">
        <v>353.95999999999964</v>
      </c>
      <c r="R306" s="1">
        <v>1031.6666666666663</v>
      </c>
      <c r="S306" s="1">
        <v>1310</v>
      </c>
      <c r="T306" s="1">
        <v>278.33333333333348</v>
      </c>
      <c r="U306" s="1">
        <v>2150</v>
      </c>
      <c r="V306" s="1">
        <v>10340</v>
      </c>
      <c r="W306" s="1">
        <v>715.42833333333192</v>
      </c>
      <c r="X306" s="1">
        <v>-1434.5716666666681</v>
      </c>
      <c r="AB306" s="2" t="str">
        <f t="shared" si="4"/>
        <v>PASS</v>
      </c>
      <c r="AV306" s="1"/>
      <c r="AW306" s="1"/>
      <c r="AX306" s="1"/>
    </row>
    <row r="307" spans="1:50">
      <c r="A307" s="1" t="s">
        <v>331</v>
      </c>
      <c r="B307" s="1" t="s">
        <v>24</v>
      </c>
      <c r="C307" s="2">
        <v>46258.444539236109</v>
      </c>
      <c r="D307" s="2">
        <v>45217.01576519676</v>
      </c>
      <c r="E307" s="2">
        <v>46258.385600601854</v>
      </c>
      <c r="F307" s="1" t="s">
        <v>604</v>
      </c>
      <c r="G307" s="1" t="s">
        <v>25</v>
      </c>
      <c r="H307" s="3">
        <v>45216</v>
      </c>
      <c r="I307" s="1">
        <v>6178.125</v>
      </c>
      <c r="J307" s="1">
        <v>7580</v>
      </c>
      <c r="K307" s="1">
        <v>1401.875</v>
      </c>
      <c r="L307" s="1">
        <v>3018.1250000000005</v>
      </c>
      <c r="M307" s="1">
        <v>5100</v>
      </c>
      <c r="N307" s="1">
        <v>2081.8749999999995</v>
      </c>
      <c r="O307" s="1">
        <v>334.76999999999987</v>
      </c>
      <c r="P307" s="1">
        <v>960</v>
      </c>
      <c r="Q307" s="1">
        <v>625.23000000000013</v>
      </c>
      <c r="R307" s="1">
        <v>1100.8333333333333</v>
      </c>
      <c r="S307" s="1">
        <v>1440</v>
      </c>
      <c r="T307" s="1">
        <v>339.16666666666674</v>
      </c>
      <c r="U307" s="1">
        <v>2150</v>
      </c>
      <c r="V307" s="1">
        <v>15080</v>
      </c>
      <c r="W307" s="1">
        <v>4448.1466666666665</v>
      </c>
      <c r="X307" s="1">
        <v>2298.1466666666665</v>
      </c>
      <c r="AB307" s="2" t="str">
        <f t="shared" si="4"/>
        <v>PASS</v>
      </c>
      <c r="AV307" s="1"/>
      <c r="AW307" s="1"/>
      <c r="AX307" s="1"/>
    </row>
    <row r="308" spans="1:50">
      <c r="A308" s="1" t="s">
        <v>332</v>
      </c>
      <c r="B308" s="1" t="s">
        <v>24</v>
      </c>
      <c r="C308" s="2">
        <v>46258.444541018522</v>
      </c>
      <c r="D308" s="2">
        <v>45218.010423252315</v>
      </c>
      <c r="E308" s="2">
        <v>46258.38560065972</v>
      </c>
      <c r="F308" s="1" t="s">
        <v>604</v>
      </c>
      <c r="G308" s="1" t="s">
        <v>25</v>
      </c>
      <c r="H308" s="3">
        <v>45217</v>
      </c>
      <c r="I308" s="1">
        <v>6687.8099999999995</v>
      </c>
      <c r="J308" s="1">
        <v>8350</v>
      </c>
      <c r="K308" s="1">
        <v>1662.1900000000005</v>
      </c>
      <c r="L308" s="1">
        <v>2608.5</v>
      </c>
      <c r="M308" s="1">
        <v>3650</v>
      </c>
      <c r="N308" s="1">
        <v>1041.5</v>
      </c>
      <c r="O308" s="1">
        <v>1021.76</v>
      </c>
      <c r="P308" s="1">
        <v>1080</v>
      </c>
      <c r="Q308" s="1">
        <v>58.240000000000009</v>
      </c>
      <c r="R308" s="1">
        <v>1325</v>
      </c>
      <c r="S308" s="1">
        <v>1690</v>
      </c>
      <c r="T308" s="1">
        <v>365</v>
      </c>
      <c r="U308" s="1">
        <v>2150</v>
      </c>
      <c r="V308" s="1">
        <v>14770</v>
      </c>
      <c r="W308" s="1">
        <v>3126.9300000000003</v>
      </c>
      <c r="X308" s="1">
        <v>976.93000000000029</v>
      </c>
      <c r="AB308" s="2" t="str">
        <f t="shared" si="4"/>
        <v>PASS</v>
      </c>
      <c r="AV308" s="1"/>
      <c r="AW308" s="1"/>
      <c r="AX308" s="1"/>
    </row>
    <row r="309" spans="1:50">
      <c r="A309" s="1" t="s">
        <v>333</v>
      </c>
      <c r="B309" s="1" t="s">
        <v>24</v>
      </c>
      <c r="C309" s="2">
        <v>46258.444542453704</v>
      </c>
      <c r="D309" s="2">
        <v>45219.025137233795</v>
      </c>
      <c r="E309" s="2">
        <v>46258.385600868052</v>
      </c>
      <c r="F309" s="1" t="s">
        <v>604</v>
      </c>
      <c r="G309" s="1" t="s">
        <v>25</v>
      </c>
      <c r="H309" s="3">
        <v>45218</v>
      </c>
      <c r="I309" s="1">
        <v>5628.0750000000007</v>
      </c>
      <c r="J309" s="1">
        <v>6350</v>
      </c>
      <c r="K309" s="1">
        <v>721.92499999999916</v>
      </c>
      <c r="L309" s="1">
        <v>3778.95</v>
      </c>
      <c r="M309" s="1">
        <v>6210</v>
      </c>
      <c r="N309" s="1">
        <v>2431.0499999999997</v>
      </c>
      <c r="O309" s="1">
        <v>1467.7999999999995</v>
      </c>
      <c r="P309" s="1">
        <v>4500</v>
      </c>
      <c r="Q309" s="1">
        <v>3032.2000000000007</v>
      </c>
      <c r="R309" s="1">
        <v>1731.6666666666663</v>
      </c>
      <c r="S309" s="1">
        <v>2230</v>
      </c>
      <c r="T309" s="1">
        <v>498.33333333333343</v>
      </c>
      <c r="U309" s="1">
        <v>2150</v>
      </c>
      <c r="V309" s="1">
        <v>19290</v>
      </c>
      <c r="W309" s="1">
        <v>6683.5083333333332</v>
      </c>
      <c r="X309" s="1">
        <v>4533.5083333333332</v>
      </c>
      <c r="AB309" s="2" t="str">
        <f t="shared" si="4"/>
        <v>PASS</v>
      </c>
      <c r="AV309" s="1"/>
      <c r="AW309" s="1"/>
      <c r="AX309" s="1"/>
    </row>
    <row r="310" spans="1:50">
      <c r="A310" s="1" t="s">
        <v>334</v>
      </c>
      <c r="B310" s="1" t="s">
        <v>24</v>
      </c>
      <c r="C310" s="2">
        <v>46258.444543969905</v>
      </c>
      <c r="D310" s="2">
        <v>45219.996776608794</v>
      </c>
      <c r="E310" s="2">
        <v>46258.385600949077</v>
      </c>
      <c r="F310" s="1" t="s">
        <v>604</v>
      </c>
      <c r="G310" s="1" t="s">
        <v>25</v>
      </c>
      <c r="H310" s="3">
        <v>45219</v>
      </c>
      <c r="I310" s="1">
        <v>6255.125</v>
      </c>
      <c r="J310" s="1">
        <v>7120</v>
      </c>
      <c r="K310" s="1">
        <v>864.875</v>
      </c>
      <c r="L310" s="1">
        <v>3876.0900000000006</v>
      </c>
      <c r="M310" s="1">
        <v>6350</v>
      </c>
      <c r="N310" s="1">
        <v>2473.9099999999994</v>
      </c>
      <c r="O310" s="1">
        <v>796.96</v>
      </c>
      <c r="P310" s="1">
        <v>2080</v>
      </c>
      <c r="Q310" s="1">
        <v>1283.04</v>
      </c>
      <c r="R310" s="1">
        <v>1847.5</v>
      </c>
      <c r="S310" s="1">
        <v>2330</v>
      </c>
      <c r="T310" s="1">
        <v>482.5</v>
      </c>
      <c r="U310" s="1">
        <v>2150</v>
      </c>
      <c r="V310" s="1">
        <v>17880</v>
      </c>
      <c r="W310" s="1">
        <v>5104.3249999999989</v>
      </c>
      <c r="X310" s="1">
        <v>2954.3249999999989</v>
      </c>
      <c r="AB310" s="2" t="str">
        <f t="shared" si="4"/>
        <v>PASS</v>
      </c>
      <c r="AV310" s="1"/>
      <c r="AW310" s="1"/>
      <c r="AX310" s="1"/>
    </row>
    <row r="311" spans="1:50">
      <c r="A311" s="1" t="s">
        <v>335</v>
      </c>
      <c r="B311" s="1" t="s">
        <v>24</v>
      </c>
      <c r="C311" s="2">
        <v>46258.444545740742</v>
      </c>
      <c r="D311" s="2">
        <v>45221.017451562497</v>
      </c>
      <c r="E311" s="2">
        <v>46258.385601030095</v>
      </c>
      <c r="F311" s="1" t="s">
        <v>604</v>
      </c>
      <c r="G311" s="1" t="s">
        <v>25</v>
      </c>
      <c r="H311" s="3">
        <v>45220</v>
      </c>
      <c r="I311" s="1">
        <v>6987.454999999999</v>
      </c>
      <c r="J311" s="1">
        <v>7990</v>
      </c>
      <c r="K311" s="1">
        <v>1002.545000000001</v>
      </c>
      <c r="L311" s="1">
        <v>1732.1999999999998</v>
      </c>
      <c r="M311" s="1">
        <v>3770</v>
      </c>
      <c r="N311" s="1">
        <v>2037.8</v>
      </c>
      <c r="O311" s="1">
        <v>1238.17</v>
      </c>
      <c r="P311" s="1">
        <v>3280</v>
      </c>
      <c r="Q311" s="1">
        <v>2041.83</v>
      </c>
      <c r="R311" s="1">
        <v>1964.1666666666663</v>
      </c>
      <c r="S311" s="1">
        <v>2510</v>
      </c>
      <c r="T311" s="1">
        <v>545.83333333333348</v>
      </c>
      <c r="U311" s="1">
        <v>2150</v>
      </c>
      <c r="V311" s="1">
        <v>17550</v>
      </c>
      <c r="W311" s="1">
        <v>5628.008333333335</v>
      </c>
      <c r="X311" s="1">
        <v>3478.008333333335</v>
      </c>
      <c r="AB311" s="2" t="str">
        <f t="shared" si="4"/>
        <v>PASS</v>
      </c>
      <c r="AV311" s="1"/>
      <c r="AW311" s="1"/>
      <c r="AX311" s="1"/>
    </row>
    <row r="312" spans="1:50">
      <c r="A312" s="1" t="s">
        <v>336</v>
      </c>
      <c r="B312" s="1" t="s">
        <v>24</v>
      </c>
      <c r="C312" s="2">
        <v>46258.44454715278</v>
      </c>
      <c r="D312" s="2">
        <v>45222.01899809028</v>
      </c>
      <c r="E312" s="2">
        <v>46258.385601087961</v>
      </c>
      <c r="F312" s="1" t="s">
        <v>604</v>
      </c>
      <c r="G312" s="1" t="s">
        <v>25</v>
      </c>
      <c r="H312" s="3">
        <v>45221</v>
      </c>
      <c r="I312" s="1">
        <v>6475.0549999999994</v>
      </c>
      <c r="J312" s="1">
        <v>7820</v>
      </c>
      <c r="K312" s="1">
        <v>1344.9450000000006</v>
      </c>
      <c r="L312" s="1">
        <v>2068.0499999999997</v>
      </c>
      <c r="M312" s="1">
        <v>3350</v>
      </c>
      <c r="N312" s="1">
        <v>1281.9500000000005</v>
      </c>
      <c r="O312" s="1">
        <v>703.11000000000035</v>
      </c>
      <c r="P312" s="1">
        <v>1000</v>
      </c>
      <c r="Q312" s="1">
        <v>296.88999999999965</v>
      </c>
      <c r="R312" s="1">
        <v>1150.8333333333337</v>
      </c>
      <c r="S312" s="1">
        <v>1480</v>
      </c>
      <c r="T312" s="1">
        <v>329.16666666666652</v>
      </c>
      <c r="U312" s="1">
        <v>2150</v>
      </c>
      <c r="V312" s="1">
        <v>13650</v>
      </c>
      <c r="W312" s="1">
        <v>3252.9516666666668</v>
      </c>
      <c r="X312" s="1">
        <v>1102.9516666666668</v>
      </c>
      <c r="AB312" s="2" t="str">
        <f t="shared" si="4"/>
        <v>PASS</v>
      </c>
      <c r="AV312" s="1"/>
      <c r="AW312" s="1"/>
      <c r="AX312" s="1"/>
    </row>
    <row r="313" spans="1:50">
      <c r="A313" s="1" t="s">
        <v>337</v>
      </c>
      <c r="B313" s="1" t="s">
        <v>24</v>
      </c>
      <c r="C313" s="2">
        <v>46258.444548368054</v>
      </c>
      <c r="D313" s="2">
        <v>45223.014430219904</v>
      </c>
      <c r="E313" s="2">
        <v>46258.38560115741</v>
      </c>
      <c r="F313" s="1" t="s">
        <v>604</v>
      </c>
      <c r="G313" s="1" t="s">
        <v>25</v>
      </c>
      <c r="H313" s="3">
        <v>45222</v>
      </c>
      <c r="I313" s="1">
        <v>6115.0200000000013</v>
      </c>
      <c r="J313" s="1">
        <v>5490</v>
      </c>
      <c r="K313" s="1">
        <v>-625.02000000000135</v>
      </c>
      <c r="L313" s="1">
        <v>4603.95</v>
      </c>
      <c r="M313" s="1">
        <v>7800</v>
      </c>
      <c r="N313" s="1">
        <v>3196.05</v>
      </c>
      <c r="O313" s="1">
        <v>639.82000000000005</v>
      </c>
      <c r="P313" s="1">
        <v>900</v>
      </c>
      <c r="Q313" s="1">
        <v>260.17999999999995</v>
      </c>
      <c r="R313" s="1">
        <v>1495</v>
      </c>
      <c r="S313" s="1">
        <v>1880</v>
      </c>
      <c r="T313" s="1">
        <v>385</v>
      </c>
      <c r="U313" s="1">
        <v>2150</v>
      </c>
      <c r="V313" s="1">
        <v>16070</v>
      </c>
      <c r="W313" s="1">
        <v>3216.2099999999987</v>
      </c>
      <c r="X313" s="1">
        <v>1066.2099999999989</v>
      </c>
      <c r="AB313" s="2" t="str">
        <f t="shared" si="4"/>
        <v>PASS</v>
      </c>
      <c r="AV313" s="1"/>
      <c r="AW313" s="1"/>
      <c r="AX313" s="1"/>
    </row>
    <row r="314" spans="1:50">
      <c r="A314" s="1" t="s">
        <v>338</v>
      </c>
      <c r="B314" s="1" t="s">
        <v>24</v>
      </c>
      <c r="C314" s="2">
        <v>46258.444549745371</v>
      </c>
      <c r="D314" s="2">
        <v>45223.998890277777</v>
      </c>
      <c r="E314" s="2">
        <v>46258.385601215276</v>
      </c>
      <c r="F314" s="1" t="s">
        <v>604</v>
      </c>
      <c r="G314" s="1" t="s">
        <v>25</v>
      </c>
      <c r="H314" s="3">
        <v>45223</v>
      </c>
      <c r="I314" s="1">
        <v>6347.3249999999989</v>
      </c>
      <c r="J314" s="1">
        <v>6370</v>
      </c>
      <c r="K314" s="1">
        <v>22.675000000001091</v>
      </c>
      <c r="L314" s="1">
        <v>1735.25</v>
      </c>
      <c r="M314" s="1">
        <v>1100</v>
      </c>
      <c r="N314" s="1">
        <v>-635.25</v>
      </c>
      <c r="O314" s="1">
        <v>384.8499999999998</v>
      </c>
      <c r="P314" s="1">
        <v>1200</v>
      </c>
      <c r="Q314" s="1">
        <v>815.1500000000002</v>
      </c>
      <c r="R314" s="1">
        <v>1601.6666666666663</v>
      </c>
      <c r="S314" s="1">
        <v>1990</v>
      </c>
      <c r="T314" s="1">
        <v>388.33333333333343</v>
      </c>
      <c r="U314" s="1">
        <v>2150</v>
      </c>
      <c r="V314" s="1">
        <v>10660</v>
      </c>
      <c r="W314" s="1">
        <v>590.90833333333478</v>
      </c>
      <c r="X314" s="1">
        <v>-1559.0916666666651</v>
      </c>
      <c r="AB314" s="2" t="str">
        <f t="shared" si="4"/>
        <v>PASS</v>
      </c>
      <c r="AV314" s="1"/>
      <c r="AW314" s="1"/>
      <c r="AX314" s="1"/>
    </row>
    <row r="315" spans="1:50">
      <c r="A315" s="1" t="s">
        <v>339</v>
      </c>
      <c r="B315" s="1" t="s">
        <v>24</v>
      </c>
      <c r="C315" s="2">
        <v>46258.444551157409</v>
      </c>
      <c r="D315" s="2">
        <v>45225.019914490738</v>
      </c>
      <c r="E315" s="2">
        <v>46258.385601365742</v>
      </c>
      <c r="F315" s="1" t="s">
        <v>604</v>
      </c>
      <c r="G315" s="1" t="s">
        <v>25</v>
      </c>
      <c r="H315" s="3">
        <v>45224</v>
      </c>
      <c r="I315" s="1">
        <v>6923.9950000000008</v>
      </c>
      <c r="J315" s="1">
        <v>7230</v>
      </c>
      <c r="K315" s="1">
        <v>306.0049999999992</v>
      </c>
      <c r="L315" s="1">
        <v>1969.5500000000004</v>
      </c>
      <c r="M315" s="1">
        <v>3550</v>
      </c>
      <c r="N315" s="1">
        <v>1580.4499999999996</v>
      </c>
      <c r="O315" s="1">
        <v>1291.92</v>
      </c>
      <c r="P315" s="1">
        <v>2760</v>
      </c>
      <c r="Q315" s="1">
        <v>1468.08</v>
      </c>
      <c r="R315" s="1">
        <v>1467.5</v>
      </c>
      <c r="S315" s="1">
        <v>1890</v>
      </c>
      <c r="T315" s="1">
        <v>422.5</v>
      </c>
      <c r="U315" s="1">
        <v>2150</v>
      </c>
      <c r="V315" s="1">
        <v>15430</v>
      </c>
      <c r="W315" s="1">
        <v>3777.0349999999994</v>
      </c>
      <c r="X315" s="1">
        <v>1627.0349999999987</v>
      </c>
      <c r="AB315" s="2" t="str">
        <f t="shared" si="4"/>
        <v>PASS</v>
      </c>
      <c r="AV315" s="1"/>
      <c r="AW315" s="1"/>
      <c r="AX315" s="1"/>
    </row>
    <row r="316" spans="1:50">
      <c r="A316" s="1" t="s">
        <v>340</v>
      </c>
      <c r="B316" s="1" t="s">
        <v>24</v>
      </c>
      <c r="C316" s="2">
        <v>46258.44455266204</v>
      </c>
      <c r="D316" s="2">
        <v>45226.011307337962</v>
      </c>
      <c r="E316" s="2">
        <v>46258.385601458336</v>
      </c>
      <c r="F316" s="1" t="s">
        <v>604</v>
      </c>
      <c r="G316" s="1" t="s">
        <v>25</v>
      </c>
      <c r="H316" s="3">
        <v>45225</v>
      </c>
      <c r="I316" s="1">
        <v>5461.7900000000018</v>
      </c>
      <c r="J316" s="1">
        <v>4870</v>
      </c>
      <c r="K316" s="1">
        <v>-591.79000000000178</v>
      </c>
      <c r="L316" s="1">
        <v>1938.8000000000004</v>
      </c>
      <c r="M316" s="1">
        <v>2870</v>
      </c>
      <c r="N316" s="1">
        <v>931.19999999999948</v>
      </c>
      <c r="O316" s="1">
        <v>921.08</v>
      </c>
      <c r="P316" s="1">
        <v>1440</v>
      </c>
      <c r="Q316" s="1">
        <v>518.91999999999996</v>
      </c>
      <c r="R316" s="1">
        <v>1085</v>
      </c>
      <c r="S316" s="1">
        <v>1400</v>
      </c>
      <c r="T316" s="1">
        <v>315</v>
      </c>
      <c r="U316" s="1">
        <v>2150</v>
      </c>
      <c r="V316" s="1">
        <v>10580</v>
      </c>
      <c r="W316" s="1">
        <v>1173.3299999999977</v>
      </c>
      <c r="X316" s="1">
        <v>-976.67000000000235</v>
      </c>
      <c r="AB316" s="2" t="str">
        <f t="shared" si="4"/>
        <v>PASS</v>
      </c>
      <c r="AV316" s="1"/>
      <c r="AW316" s="1"/>
      <c r="AX316" s="1"/>
    </row>
    <row r="317" spans="1:50">
      <c r="A317" s="1" t="s">
        <v>341</v>
      </c>
      <c r="B317" s="1" t="s">
        <v>24</v>
      </c>
      <c r="C317" s="2">
        <v>46258.444553877314</v>
      </c>
      <c r="D317" s="2">
        <v>45227.026283483799</v>
      </c>
      <c r="E317" s="2">
        <v>46258.385601724534</v>
      </c>
      <c r="F317" s="1" t="s">
        <v>604</v>
      </c>
      <c r="G317" s="1" t="s">
        <v>25</v>
      </c>
      <c r="H317" s="3">
        <v>45226</v>
      </c>
      <c r="I317" s="1">
        <v>5725.24</v>
      </c>
      <c r="J317" s="1">
        <v>6650</v>
      </c>
      <c r="K317" s="1">
        <v>924.7600000000001</v>
      </c>
      <c r="L317" s="1">
        <v>2882.9749999999999</v>
      </c>
      <c r="M317" s="1">
        <v>4320</v>
      </c>
      <c r="N317" s="1">
        <v>1437.0250000000001</v>
      </c>
      <c r="O317" s="1">
        <v>1174.75</v>
      </c>
      <c r="P317" s="1">
        <v>2300</v>
      </c>
      <c r="Q317" s="1">
        <v>1125.25</v>
      </c>
      <c r="R317" s="1">
        <v>1302.5</v>
      </c>
      <c r="S317" s="1">
        <v>1710</v>
      </c>
      <c r="T317" s="1">
        <v>407.5</v>
      </c>
      <c r="U317" s="1">
        <v>2150</v>
      </c>
      <c r="V317" s="1">
        <v>14980</v>
      </c>
      <c r="W317" s="1">
        <v>3894.5349999999999</v>
      </c>
      <c r="X317" s="1">
        <v>1744.5350000000003</v>
      </c>
      <c r="AB317" s="2" t="str">
        <f t="shared" si="4"/>
        <v>PASS</v>
      </c>
      <c r="AV317" s="1"/>
      <c r="AW317" s="1"/>
      <c r="AX317" s="1"/>
    </row>
    <row r="318" spans="1:50">
      <c r="A318" s="1" t="s">
        <v>342</v>
      </c>
      <c r="B318" s="1" t="s">
        <v>24</v>
      </c>
      <c r="C318" s="2">
        <v>46258.444554872687</v>
      </c>
      <c r="D318" s="2">
        <v>45228.028735671294</v>
      </c>
      <c r="E318" s="2">
        <v>46258.385601805552</v>
      </c>
      <c r="F318" s="1" t="s">
        <v>604</v>
      </c>
      <c r="G318" s="1" t="s">
        <v>25</v>
      </c>
      <c r="H318" s="3">
        <v>45227</v>
      </c>
      <c r="I318" s="1">
        <v>8128.7999999999984</v>
      </c>
      <c r="J318" s="1">
        <v>5000</v>
      </c>
      <c r="K318" s="1">
        <v>-3128.7999999999984</v>
      </c>
      <c r="L318" s="1">
        <v>5528.7</v>
      </c>
      <c r="M318" s="1">
        <v>10020</v>
      </c>
      <c r="N318" s="1">
        <v>4491.3</v>
      </c>
      <c r="O318" s="1">
        <v>1808.74</v>
      </c>
      <c r="P318" s="1">
        <v>3920</v>
      </c>
      <c r="Q318" s="1">
        <v>2111.2600000000002</v>
      </c>
      <c r="R318" s="1">
        <v>2383.3333333333335</v>
      </c>
      <c r="S318" s="1">
        <v>2950</v>
      </c>
      <c r="T318" s="1">
        <v>566.66666666666652</v>
      </c>
      <c r="U318" s="1">
        <v>2150</v>
      </c>
      <c r="V318" s="1">
        <v>21890</v>
      </c>
      <c r="W318" s="1">
        <v>4040.426666666669</v>
      </c>
      <c r="X318" s="1">
        <v>1890.4266666666688</v>
      </c>
      <c r="AB318" s="2" t="str">
        <f t="shared" si="4"/>
        <v>PASS</v>
      </c>
      <c r="AV318" s="1"/>
      <c r="AW318" s="1"/>
      <c r="AX318" s="1"/>
    </row>
    <row r="319" spans="1:50">
      <c r="A319" s="1" t="s">
        <v>343</v>
      </c>
      <c r="B319" s="1" t="s">
        <v>24</v>
      </c>
      <c r="C319" s="2">
        <v>46258.444556423608</v>
      </c>
      <c r="D319" s="2">
        <v>45229.029399560182</v>
      </c>
      <c r="E319" s="2">
        <v>46258.385601875001</v>
      </c>
      <c r="F319" s="1" t="s">
        <v>604</v>
      </c>
      <c r="G319" s="1" t="s">
        <v>25</v>
      </c>
      <c r="H319" s="3">
        <v>45228</v>
      </c>
      <c r="I319" s="1">
        <v>7452.9449999999997</v>
      </c>
      <c r="J319" s="1">
        <v>7130</v>
      </c>
      <c r="K319" s="1">
        <v>-322.94499999999971</v>
      </c>
      <c r="L319" s="1">
        <v>3044.1999999999994</v>
      </c>
      <c r="M319" s="1">
        <v>4900</v>
      </c>
      <c r="N319" s="1">
        <v>1855.8000000000009</v>
      </c>
      <c r="O319" s="1">
        <v>1370.6299999999999</v>
      </c>
      <c r="P319" s="1">
        <v>3240</v>
      </c>
      <c r="Q319" s="1">
        <v>1869.3700000000001</v>
      </c>
      <c r="R319" s="1">
        <v>1313.3333333333337</v>
      </c>
      <c r="S319" s="1">
        <v>1660</v>
      </c>
      <c r="T319" s="1">
        <v>346.66666666666652</v>
      </c>
      <c r="U319" s="1">
        <v>2150</v>
      </c>
      <c r="V319" s="1">
        <v>16930</v>
      </c>
      <c r="W319" s="1">
        <v>3748.8916666666678</v>
      </c>
      <c r="X319" s="1">
        <v>1598.8916666666678</v>
      </c>
      <c r="AB319" s="2" t="str">
        <f t="shared" si="4"/>
        <v>PASS</v>
      </c>
      <c r="AV319" s="1"/>
      <c r="AW319" s="1"/>
      <c r="AX319" s="1"/>
    </row>
    <row r="320" spans="1:50">
      <c r="A320" s="1" t="s">
        <v>344</v>
      </c>
      <c r="B320" s="1" t="s">
        <v>24</v>
      </c>
      <c r="C320" s="2">
        <v>46258.444557893519</v>
      </c>
      <c r="D320" s="2">
        <v>45230.022437650463</v>
      </c>
      <c r="E320" s="2">
        <v>46258.385601944443</v>
      </c>
      <c r="F320" s="1" t="s">
        <v>604</v>
      </c>
      <c r="G320" s="1" t="s">
        <v>25</v>
      </c>
      <c r="H320" s="3">
        <v>45229</v>
      </c>
      <c r="I320" s="1">
        <v>5182.1499999999996</v>
      </c>
      <c r="J320" s="1">
        <v>7330</v>
      </c>
      <c r="K320" s="1">
        <v>2147.8500000000004</v>
      </c>
      <c r="L320" s="1">
        <v>2578.1000000000008</v>
      </c>
      <c r="M320" s="1">
        <v>4250</v>
      </c>
      <c r="N320" s="1">
        <v>1671.8999999999992</v>
      </c>
      <c r="O320" s="1">
        <v>920.4100000000002</v>
      </c>
      <c r="P320" s="1">
        <v>1280</v>
      </c>
      <c r="Q320" s="1">
        <v>359.5899999999998</v>
      </c>
      <c r="R320" s="1">
        <v>458.33333333333337</v>
      </c>
      <c r="S320" s="1">
        <v>580</v>
      </c>
      <c r="T320" s="1">
        <v>121.66666666666664</v>
      </c>
      <c r="U320" s="1">
        <v>2150</v>
      </c>
      <c r="V320" s="1">
        <v>13440</v>
      </c>
      <c r="W320" s="1">
        <v>4301.0066666666662</v>
      </c>
      <c r="X320" s="1">
        <v>2151.0066666666662</v>
      </c>
      <c r="AB320" s="2" t="str">
        <f t="shared" si="4"/>
        <v>PASS</v>
      </c>
      <c r="AV320" s="1"/>
      <c r="AW320" s="1"/>
      <c r="AX320" s="1"/>
    </row>
    <row r="321" spans="1:50">
      <c r="A321" s="1" t="s">
        <v>345</v>
      </c>
      <c r="B321" s="1" t="s">
        <v>24</v>
      </c>
      <c r="C321" s="2">
        <v>46258.444558912037</v>
      </c>
      <c r="D321" s="2">
        <v>45231.018079351852</v>
      </c>
      <c r="E321" s="2">
        <v>46258.385602013892</v>
      </c>
      <c r="F321" s="1" t="s">
        <v>604</v>
      </c>
      <c r="G321" s="1" t="s">
        <v>25</v>
      </c>
      <c r="H321" s="3">
        <v>45230</v>
      </c>
      <c r="I321" s="1">
        <v>7154.9800000000014</v>
      </c>
      <c r="J321" s="1">
        <v>8240</v>
      </c>
      <c r="K321" s="1">
        <v>1085.0199999999986</v>
      </c>
      <c r="L321" s="1">
        <v>2601.9499999999994</v>
      </c>
      <c r="M321" s="1">
        <v>3970</v>
      </c>
      <c r="N321" s="1">
        <v>1368.0500000000006</v>
      </c>
      <c r="O321" s="1">
        <v>475.66000000000025</v>
      </c>
      <c r="P321" s="1">
        <v>1280</v>
      </c>
      <c r="Q321" s="1">
        <v>804.33999999999969</v>
      </c>
      <c r="R321" s="1">
        <v>1883.3333333333333</v>
      </c>
      <c r="S321" s="1">
        <v>2350</v>
      </c>
      <c r="T321" s="1">
        <v>466.66666666666674</v>
      </c>
      <c r="U321" s="1">
        <v>2150</v>
      </c>
      <c r="V321" s="1">
        <v>15840</v>
      </c>
      <c r="W321" s="1">
        <v>3724.0766666666655</v>
      </c>
      <c r="X321" s="1">
        <v>1574.0766666666659</v>
      </c>
      <c r="AB321" s="2" t="str">
        <f t="shared" si="4"/>
        <v>PASS</v>
      </c>
      <c r="AV321" s="1"/>
      <c r="AW321" s="1"/>
      <c r="AX321" s="1"/>
    </row>
    <row r="322" spans="1:50">
      <c r="A322" s="1" t="s">
        <v>23</v>
      </c>
      <c r="B322" s="1" t="s">
        <v>24</v>
      </c>
      <c r="C322" s="2">
        <v>46258.444515706018</v>
      </c>
      <c r="D322" s="2">
        <v>45232.011969513886</v>
      </c>
      <c r="E322" s="2">
        <v>46258.385594537038</v>
      </c>
      <c r="F322" s="1" t="s">
        <v>605</v>
      </c>
      <c r="G322" s="1" t="s">
        <v>25</v>
      </c>
      <c r="H322" s="3">
        <v>45231</v>
      </c>
      <c r="I322" s="1">
        <v>7753.7950000000001</v>
      </c>
      <c r="J322" s="1">
        <v>7790</v>
      </c>
      <c r="K322" s="1">
        <v>36.205000000000837</v>
      </c>
      <c r="L322" s="1">
        <v>2586.8000000000002</v>
      </c>
      <c r="M322" s="1">
        <v>5900</v>
      </c>
      <c r="N322" s="1">
        <v>3313.2</v>
      </c>
      <c r="O322" s="1">
        <v>413.36000000000013</v>
      </c>
      <c r="P322" s="1">
        <v>1000</v>
      </c>
      <c r="Q322" s="1">
        <v>586.63999999999987</v>
      </c>
      <c r="R322" s="1">
        <v>2141.666666666667</v>
      </c>
      <c r="S322" s="1">
        <v>2730</v>
      </c>
      <c r="T322" s="1">
        <v>588.33333333333303</v>
      </c>
      <c r="U322" s="1">
        <v>2150</v>
      </c>
      <c r="V322" s="1">
        <v>17420</v>
      </c>
      <c r="W322" s="1">
        <v>4524.378333333334</v>
      </c>
      <c r="X322" s="1">
        <v>2374.378333333334</v>
      </c>
      <c r="AB322" s="2" t="str">
        <f t="shared" si="4"/>
        <v>PASS</v>
      </c>
      <c r="AV322" s="1"/>
      <c r="AW322" s="1"/>
      <c r="AX322" s="1"/>
    </row>
    <row r="323" spans="1:50">
      <c r="A323" s="1" t="s">
        <v>346</v>
      </c>
      <c r="B323" s="1" t="s">
        <v>24</v>
      </c>
      <c r="C323" s="2">
        <v>46258.444517476855</v>
      </c>
      <c r="D323" s="2">
        <v>45233.011933136571</v>
      </c>
      <c r="E323" s="2">
        <v>46258.38559460648</v>
      </c>
      <c r="F323" s="1" t="s">
        <v>605</v>
      </c>
      <c r="G323" s="1" t="s">
        <v>25</v>
      </c>
      <c r="H323" s="3">
        <v>45232</v>
      </c>
      <c r="I323" s="1">
        <v>8010.1200000000035</v>
      </c>
      <c r="J323" s="1">
        <v>7700</v>
      </c>
      <c r="K323" s="1">
        <v>-310.12000000000262</v>
      </c>
      <c r="L323" s="1">
        <v>2194.1999999999998</v>
      </c>
      <c r="M323" s="1">
        <v>3100</v>
      </c>
      <c r="N323" s="1">
        <v>905.80000000000018</v>
      </c>
      <c r="O323" s="1">
        <v>1739.6399999999999</v>
      </c>
      <c r="P323" s="1">
        <v>4060</v>
      </c>
      <c r="Q323" s="1">
        <v>2320.36</v>
      </c>
      <c r="R323" s="1">
        <v>1825</v>
      </c>
      <c r="S323" s="1">
        <v>2300</v>
      </c>
      <c r="T323" s="1">
        <v>475</v>
      </c>
      <c r="U323" s="1">
        <v>2150</v>
      </c>
      <c r="V323" s="1">
        <v>17160</v>
      </c>
      <c r="W323" s="1">
        <v>3391.0399999999977</v>
      </c>
      <c r="X323" s="1">
        <v>1241.0399999999977</v>
      </c>
      <c r="AB323" s="2" t="str">
        <f t="shared" ref="AB323:AB382" si="5">IF(ABS(N323-(M323-L323))&lt;0.01,"PASS","CHECK")</f>
        <v>PASS</v>
      </c>
      <c r="AV323" s="1"/>
      <c r="AW323" s="1"/>
      <c r="AX323" s="1"/>
    </row>
    <row r="324" spans="1:50">
      <c r="A324" s="1" t="s">
        <v>347</v>
      </c>
      <c r="B324" s="1" t="s">
        <v>24</v>
      </c>
      <c r="C324" s="2">
        <v>46258.444518715274</v>
      </c>
      <c r="D324" s="2">
        <v>45234.002079016202</v>
      </c>
      <c r="E324" s="2">
        <v>46258.385595</v>
      </c>
      <c r="F324" s="1" t="s">
        <v>605</v>
      </c>
      <c r="G324" s="1" t="s">
        <v>25</v>
      </c>
      <c r="H324" s="3">
        <v>45233</v>
      </c>
      <c r="I324" s="1">
        <v>7308.1099999999988</v>
      </c>
      <c r="J324" s="1">
        <v>5835</v>
      </c>
      <c r="K324" s="1">
        <v>-1473.1099999999981</v>
      </c>
      <c r="L324" s="1">
        <v>1859.7999999999995</v>
      </c>
      <c r="M324" s="1">
        <v>3800</v>
      </c>
      <c r="N324" s="1">
        <v>1940.2000000000005</v>
      </c>
      <c r="O324" s="1">
        <v>304.41999999999996</v>
      </c>
      <c r="P324" s="1">
        <v>1000</v>
      </c>
      <c r="Q324" s="1">
        <v>695.58</v>
      </c>
      <c r="R324" s="1">
        <v>2275</v>
      </c>
      <c r="S324" s="1">
        <v>2830</v>
      </c>
      <c r="T324" s="1">
        <v>555</v>
      </c>
      <c r="U324" s="1">
        <v>2150</v>
      </c>
      <c r="V324" s="1">
        <v>13465</v>
      </c>
      <c r="W324" s="1">
        <v>1717.6700000000028</v>
      </c>
      <c r="X324" s="1">
        <v>-432.3299999999972</v>
      </c>
      <c r="AB324" s="2" t="str">
        <f t="shared" si="5"/>
        <v>PASS</v>
      </c>
      <c r="AV324" s="1"/>
      <c r="AW324" s="1"/>
      <c r="AX324" s="1"/>
    </row>
    <row r="325" spans="1:50">
      <c r="A325" s="1" t="s">
        <v>348</v>
      </c>
      <c r="B325" s="1" t="s">
        <v>24</v>
      </c>
      <c r="C325" s="2">
        <v>46258.444519965276</v>
      </c>
      <c r="D325" s="2">
        <v>45235.01255806713</v>
      </c>
      <c r="E325" s="2">
        <v>46258.385595069441</v>
      </c>
      <c r="F325" s="1" t="s">
        <v>605</v>
      </c>
      <c r="G325" s="1" t="s">
        <v>25</v>
      </c>
      <c r="H325" s="3">
        <v>45234</v>
      </c>
      <c r="I325" s="1">
        <v>5617.3500000000013</v>
      </c>
      <c r="J325" s="1">
        <v>7350</v>
      </c>
      <c r="K325" s="1">
        <v>1732.6499999999987</v>
      </c>
      <c r="L325" s="1">
        <v>3565.7500000000005</v>
      </c>
      <c r="M325" s="1">
        <v>6950</v>
      </c>
      <c r="N325" s="1">
        <v>3384.2499999999995</v>
      </c>
      <c r="O325" s="1">
        <v>373.46000000000009</v>
      </c>
      <c r="P325" s="1">
        <v>480</v>
      </c>
      <c r="Q325" s="1">
        <v>106.53999999999991</v>
      </c>
      <c r="R325" s="1">
        <v>566.66666666666663</v>
      </c>
      <c r="S325" s="1">
        <v>850</v>
      </c>
      <c r="T325" s="1">
        <v>283.33333333333337</v>
      </c>
      <c r="U325" s="1">
        <v>2150</v>
      </c>
      <c r="V325" s="1">
        <v>15630</v>
      </c>
      <c r="W325" s="1">
        <v>5506.7733333333308</v>
      </c>
      <c r="X325" s="1">
        <v>3356.7733333333308</v>
      </c>
      <c r="AB325" s="2" t="str">
        <f t="shared" si="5"/>
        <v>PASS</v>
      </c>
      <c r="AV325" s="1"/>
      <c r="AW325" s="1"/>
      <c r="AX325" s="1"/>
    </row>
    <row r="326" spans="1:50">
      <c r="A326" s="1" t="s">
        <v>349</v>
      </c>
      <c r="B326" s="1" t="s">
        <v>24</v>
      </c>
      <c r="C326" s="2">
        <v>46258.444521342593</v>
      </c>
      <c r="D326" s="2">
        <v>45236.017739456016</v>
      </c>
      <c r="E326" s="2">
        <v>46258.385595462962</v>
      </c>
      <c r="F326" s="1" t="s">
        <v>605</v>
      </c>
      <c r="G326" s="1" t="s">
        <v>25</v>
      </c>
      <c r="H326" s="3">
        <v>45235</v>
      </c>
      <c r="I326" s="1">
        <v>8289.4449999999979</v>
      </c>
      <c r="J326" s="1">
        <v>8110</v>
      </c>
      <c r="K326" s="1">
        <v>-179.44499999999789</v>
      </c>
      <c r="L326" s="1">
        <v>2589.6500000000005</v>
      </c>
      <c r="M326" s="1">
        <v>5650</v>
      </c>
      <c r="N326" s="1">
        <v>3060.3499999999995</v>
      </c>
      <c r="O326" s="1">
        <v>1914.02</v>
      </c>
      <c r="P326" s="1">
        <v>4240</v>
      </c>
      <c r="Q326" s="1">
        <v>2325.98</v>
      </c>
      <c r="R326" s="1">
        <v>1818.3333333333333</v>
      </c>
      <c r="S326" s="1">
        <v>2280</v>
      </c>
      <c r="T326" s="1">
        <v>461.66666666666674</v>
      </c>
      <c r="U326" s="1">
        <v>2150</v>
      </c>
      <c r="V326" s="1">
        <v>20280</v>
      </c>
      <c r="W326" s="1">
        <v>5668.5516666666681</v>
      </c>
      <c r="X326" s="1">
        <v>3518.5516666666681</v>
      </c>
      <c r="AB326" s="2" t="str">
        <f t="shared" si="5"/>
        <v>PASS</v>
      </c>
      <c r="AV326" s="1"/>
      <c r="AW326" s="1"/>
      <c r="AX326" s="1"/>
    </row>
    <row r="327" spans="1:50">
      <c r="A327" s="1" t="s">
        <v>350</v>
      </c>
      <c r="B327" s="1" t="s">
        <v>24</v>
      </c>
      <c r="C327" s="2">
        <v>46258.44452271991</v>
      </c>
      <c r="D327" s="2">
        <v>45238.06008145833</v>
      </c>
      <c r="E327" s="2">
        <v>46258.385595532411</v>
      </c>
      <c r="F327" s="1" t="s">
        <v>605</v>
      </c>
      <c r="G327" s="1" t="s">
        <v>25</v>
      </c>
      <c r="H327" s="3">
        <v>45236</v>
      </c>
      <c r="I327" s="1">
        <v>7063.2199999999984</v>
      </c>
      <c r="J327" s="1">
        <v>7830</v>
      </c>
      <c r="K327" s="1">
        <v>766.78000000000156</v>
      </c>
      <c r="L327" s="1">
        <v>2956.9</v>
      </c>
      <c r="M327" s="1">
        <v>4170</v>
      </c>
      <c r="N327" s="1">
        <v>1213.0999999999999</v>
      </c>
      <c r="O327" s="1">
        <v>1040.9299999999998</v>
      </c>
      <c r="P327" s="1">
        <v>2640</v>
      </c>
      <c r="Q327" s="1">
        <v>1599.0700000000002</v>
      </c>
      <c r="R327" s="1">
        <v>1521.6666666666663</v>
      </c>
      <c r="S327" s="1">
        <v>1920</v>
      </c>
      <c r="T327" s="1">
        <v>398.33333333333343</v>
      </c>
      <c r="U327" s="1">
        <v>2150</v>
      </c>
      <c r="V327" s="1">
        <v>16560</v>
      </c>
      <c r="W327" s="1">
        <v>3977.2833333333351</v>
      </c>
      <c r="X327" s="1">
        <v>1827.2833333333351</v>
      </c>
      <c r="AB327" s="2" t="str">
        <f t="shared" si="5"/>
        <v>PASS</v>
      </c>
      <c r="AV327" s="1"/>
      <c r="AW327" s="1"/>
      <c r="AX327" s="1"/>
    </row>
    <row r="328" spans="1:50">
      <c r="A328" s="1" t="s">
        <v>351</v>
      </c>
      <c r="B328" s="1" t="s">
        <v>24</v>
      </c>
      <c r="C328" s="2">
        <v>46258.444524317129</v>
      </c>
      <c r="D328" s="2">
        <v>45238.979803020833</v>
      </c>
      <c r="E328" s="2">
        <v>46258.385595636573</v>
      </c>
      <c r="F328" s="1" t="s">
        <v>605</v>
      </c>
      <c r="G328" s="1" t="s">
        <v>25</v>
      </c>
      <c r="H328" s="3">
        <v>45237</v>
      </c>
      <c r="I328" s="1">
        <v>4173.7400000000034</v>
      </c>
      <c r="J328" s="1">
        <v>7590</v>
      </c>
      <c r="K328" s="1">
        <v>3416.2599999999966</v>
      </c>
      <c r="L328" s="1">
        <v>2391</v>
      </c>
      <c r="M328" s="1">
        <v>3800</v>
      </c>
      <c r="N328" s="1">
        <v>1409</v>
      </c>
      <c r="O328" s="1">
        <v>782.19000000000028</v>
      </c>
      <c r="P328" s="1">
        <v>2280</v>
      </c>
      <c r="Q328" s="1">
        <v>1497.8099999999997</v>
      </c>
      <c r="R328" s="1">
        <v>2121.666666666667</v>
      </c>
      <c r="S328" s="1">
        <v>2730</v>
      </c>
      <c r="T328" s="1">
        <v>608.33333333333303</v>
      </c>
      <c r="U328" s="1">
        <v>2150</v>
      </c>
      <c r="V328" s="1">
        <v>16400</v>
      </c>
      <c r="W328" s="1">
        <v>6931.4033333333291</v>
      </c>
      <c r="X328" s="1">
        <v>4781.4033333333291</v>
      </c>
      <c r="AB328" s="2" t="str">
        <f t="shared" si="5"/>
        <v>PASS</v>
      </c>
      <c r="AV328" s="1"/>
      <c r="AW328" s="1"/>
      <c r="AX328" s="1"/>
    </row>
    <row r="329" spans="1:50">
      <c r="A329" s="1" t="s">
        <v>352</v>
      </c>
      <c r="B329" s="1" t="s">
        <v>24</v>
      </c>
      <c r="C329" s="2">
        <v>46258.444525787039</v>
      </c>
      <c r="D329" s="2">
        <v>45239.013366631945</v>
      </c>
      <c r="E329" s="2">
        <v>46258.385595694446</v>
      </c>
      <c r="F329" s="1" t="s">
        <v>605</v>
      </c>
      <c r="G329" s="1" t="s">
        <v>25</v>
      </c>
      <c r="H329" s="3">
        <v>45238</v>
      </c>
      <c r="I329" s="1">
        <v>6549.79</v>
      </c>
      <c r="J329" s="1">
        <v>3340</v>
      </c>
      <c r="K329" s="1">
        <v>-3209.79</v>
      </c>
      <c r="L329" s="1">
        <v>3266.45</v>
      </c>
      <c r="M329" s="1">
        <v>6750</v>
      </c>
      <c r="N329" s="1">
        <v>3483.55</v>
      </c>
      <c r="O329" s="1">
        <v>963.14999999999986</v>
      </c>
      <c r="P329" s="1">
        <v>1700</v>
      </c>
      <c r="Q329" s="1">
        <v>736.85000000000014</v>
      </c>
      <c r="R329" s="1">
        <v>1906.6666666666663</v>
      </c>
      <c r="S329" s="1">
        <v>2450</v>
      </c>
      <c r="T329" s="1">
        <v>543.33333333333348</v>
      </c>
      <c r="U329" s="1">
        <v>2150</v>
      </c>
      <c r="V329" s="1">
        <v>14240</v>
      </c>
      <c r="W329" s="1">
        <v>1553.9433333333338</v>
      </c>
      <c r="X329" s="1">
        <v>-596.05666666666616</v>
      </c>
      <c r="AB329" s="2" t="str">
        <f t="shared" si="5"/>
        <v>PASS</v>
      </c>
      <c r="AV329" s="1"/>
      <c r="AW329" s="1"/>
      <c r="AX329" s="1"/>
    </row>
    <row r="330" spans="1:50">
      <c r="A330" s="1" t="s">
        <v>353</v>
      </c>
      <c r="B330" s="1" t="s">
        <v>24</v>
      </c>
      <c r="C330" s="2">
        <v>46258.444527685184</v>
      </c>
      <c r="D330" s="2">
        <v>45239.994069421293</v>
      </c>
      <c r="E330" s="2">
        <v>46258.385595763888</v>
      </c>
      <c r="F330" s="1" t="s">
        <v>605</v>
      </c>
      <c r="G330" s="1" t="s">
        <v>25</v>
      </c>
      <c r="H330" s="3">
        <v>45239</v>
      </c>
      <c r="I330" s="1">
        <v>7046.7849999999999</v>
      </c>
      <c r="J330" s="1">
        <v>5620</v>
      </c>
      <c r="K330" s="1">
        <v>-1426.7850000000001</v>
      </c>
      <c r="L330" s="1">
        <v>3203.3500000000004</v>
      </c>
      <c r="M330" s="1">
        <v>5700</v>
      </c>
      <c r="N330" s="1">
        <v>2496.6499999999996</v>
      </c>
      <c r="O330" s="1">
        <v>1482.7099999999996</v>
      </c>
      <c r="P330" s="1">
        <v>3720</v>
      </c>
      <c r="Q330" s="1">
        <v>2237.2900000000004</v>
      </c>
      <c r="R330" s="1">
        <v>1246.6666666666667</v>
      </c>
      <c r="S330" s="1">
        <v>1560</v>
      </c>
      <c r="T330" s="1">
        <v>313.33333333333326</v>
      </c>
      <c r="U330" s="1">
        <v>2150</v>
      </c>
      <c r="V330" s="1">
        <v>16600</v>
      </c>
      <c r="W330" s="1">
        <v>3620.4883333333337</v>
      </c>
      <c r="X330" s="1">
        <v>1470.4883333333337</v>
      </c>
      <c r="AB330" s="2" t="str">
        <f t="shared" si="5"/>
        <v>PASS</v>
      </c>
      <c r="AV330" s="1"/>
      <c r="AW330" s="1"/>
      <c r="AX330" s="1"/>
    </row>
    <row r="331" spans="1:50">
      <c r="A331" s="1" t="s">
        <v>354</v>
      </c>
      <c r="B331" s="1" t="s">
        <v>24</v>
      </c>
      <c r="C331" s="2">
        <v>46258.444529143519</v>
      </c>
      <c r="D331" s="2">
        <v>45240.99832619213</v>
      </c>
      <c r="E331" s="2">
        <v>46258.38559583333</v>
      </c>
      <c r="F331" s="1" t="s">
        <v>605</v>
      </c>
      <c r="G331" s="1" t="s">
        <v>25</v>
      </c>
      <c r="H331" s="3">
        <v>45240</v>
      </c>
      <c r="I331" s="1">
        <v>5052.1749999999984</v>
      </c>
      <c r="J331" s="1">
        <v>4970</v>
      </c>
      <c r="K331" s="1">
        <v>-82.174999999998363</v>
      </c>
      <c r="L331" s="1">
        <v>1576.4000000000003</v>
      </c>
      <c r="M331" s="1">
        <v>3350</v>
      </c>
      <c r="N331" s="1">
        <v>1773.5999999999997</v>
      </c>
      <c r="O331" s="1">
        <v>584.1400000000001</v>
      </c>
      <c r="P331" s="1">
        <v>780</v>
      </c>
      <c r="Q331" s="1">
        <v>195.8599999999999</v>
      </c>
      <c r="R331" s="1">
        <v>1030</v>
      </c>
      <c r="S331" s="1">
        <v>1300</v>
      </c>
      <c r="T331" s="1">
        <v>270</v>
      </c>
      <c r="U331" s="1">
        <v>2150</v>
      </c>
      <c r="V331" s="1">
        <v>10400</v>
      </c>
      <c r="W331" s="1">
        <v>2157.2850000000012</v>
      </c>
      <c r="X331" s="1">
        <v>7.2850000000012196</v>
      </c>
      <c r="AB331" s="2" t="str">
        <f t="shared" si="5"/>
        <v>PASS</v>
      </c>
      <c r="AV331" s="1"/>
      <c r="AW331" s="1"/>
      <c r="AX331" s="1"/>
    </row>
    <row r="332" spans="1:50">
      <c r="A332" s="1" t="s">
        <v>355</v>
      </c>
      <c r="B332" s="1" t="s">
        <v>24</v>
      </c>
      <c r="C332" s="2">
        <v>46258.444530694447</v>
      </c>
      <c r="D332" s="2">
        <v>45244.978722997686</v>
      </c>
      <c r="E332" s="2">
        <v>46258.385596122687</v>
      </c>
      <c r="F332" s="1" t="s">
        <v>605</v>
      </c>
      <c r="G332" s="1" t="s">
        <v>25</v>
      </c>
      <c r="H332" s="3">
        <v>45241</v>
      </c>
      <c r="I332" s="1">
        <v>5100.1099999999979</v>
      </c>
      <c r="J332" s="1">
        <v>3890</v>
      </c>
      <c r="K332" s="1">
        <v>-1210.1099999999981</v>
      </c>
      <c r="L332" s="1">
        <v>2847.6</v>
      </c>
      <c r="M332" s="1">
        <v>2240</v>
      </c>
      <c r="N332" s="1">
        <v>-607.59999999999991</v>
      </c>
      <c r="O332" s="1">
        <v>956.68</v>
      </c>
      <c r="P332" s="1">
        <v>3190</v>
      </c>
      <c r="Q332" s="1">
        <v>2233.3200000000002</v>
      </c>
      <c r="R332" s="1">
        <v>1648.3333333333333</v>
      </c>
      <c r="S332" s="1">
        <v>2080</v>
      </c>
      <c r="T332" s="1">
        <v>431.66666666666674</v>
      </c>
      <c r="U332" s="1">
        <v>2150</v>
      </c>
      <c r="V332" s="1">
        <v>11400</v>
      </c>
      <c r="W332" s="1">
        <v>847.27666666666914</v>
      </c>
      <c r="X332" s="1">
        <v>-1302.7233333333309</v>
      </c>
      <c r="AB332" s="2" t="str">
        <f t="shared" si="5"/>
        <v>PASS</v>
      </c>
      <c r="AV332" s="1"/>
      <c r="AW332" s="1"/>
      <c r="AX332" s="1"/>
    </row>
    <row r="333" spans="1:50">
      <c r="A333" s="1" t="s">
        <v>356</v>
      </c>
      <c r="B333" s="1" t="s">
        <v>24</v>
      </c>
      <c r="C333" s="2">
        <v>46258.444532453701</v>
      </c>
      <c r="D333" s="2">
        <v>45243.96963133102</v>
      </c>
      <c r="E333" s="2">
        <v>46258.385596203705</v>
      </c>
      <c r="F333" s="1" t="s">
        <v>605</v>
      </c>
      <c r="G333" s="1" t="s">
        <v>25</v>
      </c>
      <c r="H333" s="3">
        <v>45242</v>
      </c>
      <c r="I333" s="1">
        <v>6971.4250000000002</v>
      </c>
      <c r="J333" s="1">
        <v>7850</v>
      </c>
      <c r="K333" s="1">
        <v>878.57499999999982</v>
      </c>
      <c r="L333" s="1">
        <v>3919.849999999999</v>
      </c>
      <c r="M333" s="1">
        <v>9300</v>
      </c>
      <c r="N333" s="1">
        <v>5380.1500000000005</v>
      </c>
      <c r="O333" s="1">
        <v>1199.26</v>
      </c>
      <c r="P333" s="1">
        <v>2330</v>
      </c>
      <c r="Q333" s="1">
        <v>1130.74</v>
      </c>
      <c r="R333" s="1">
        <v>1491.6666666666663</v>
      </c>
      <c r="S333" s="1">
        <v>1900</v>
      </c>
      <c r="T333" s="1">
        <v>408.33333333333343</v>
      </c>
      <c r="U333" s="1">
        <v>2150</v>
      </c>
      <c r="V333" s="1">
        <v>21380</v>
      </c>
      <c r="W333" s="1">
        <v>7797.7983333333341</v>
      </c>
      <c r="X333" s="1">
        <v>5647.7983333333341</v>
      </c>
      <c r="AB333" s="2" t="str">
        <f t="shared" si="5"/>
        <v>PASS</v>
      </c>
      <c r="AV333" s="1"/>
      <c r="AW333" s="1"/>
      <c r="AX333" s="1"/>
    </row>
    <row r="334" spans="1:50">
      <c r="A334" s="1" t="s">
        <v>357</v>
      </c>
      <c r="B334" s="1" t="s">
        <v>24</v>
      </c>
      <c r="C334" s="2">
        <v>46258.444533969909</v>
      </c>
      <c r="D334" s="2">
        <v>45244.009827002315</v>
      </c>
      <c r="E334" s="2">
        <v>46258.385596273147</v>
      </c>
      <c r="F334" s="1" t="s">
        <v>605</v>
      </c>
      <c r="G334" s="1" t="s">
        <v>25</v>
      </c>
      <c r="H334" s="3">
        <v>45243</v>
      </c>
      <c r="I334" s="1">
        <v>6494.65</v>
      </c>
      <c r="J334" s="1">
        <v>5890</v>
      </c>
      <c r="K334" s="1">
        <v>-604.64999999999964</v>
      </c>
      <c r="L334" s="1">
        <v>1906.65</v>
      </c>
      <c r="M334" s="1">
        <v>2790</v>
      </c>
      <c r="N334" s="1">
        <v>883.3499999999998</v>
      </c>
      <c r="O334" s="1">
        <v>1030.8599999999999</v>
      </c>
      <c r="P334" s="1">
        <v>1230</v>
      </c>
      <c r="Q334" s="1">
        <v>199.1400000000001</v>
      </c>
      <c r="R334" s="1">
        <v>1173.3333333333337</v>
      </c>
      <c r="S334" s="1">
        <v>1490</v>
      </c>
      <c r="T334" s="1">
        <v>316.66666666666652</v>
      </c>
      <c r="U334" s="1">
        <v>2150</v>
      </c>
      <c r="V334" s="1">
        <v>11400</v>
      </c>
      <c r="W334" s="1">
        <v>794.50666666666689</v>
      </c>
      <c r="X334" s="1">
        <v>-1355.4933333333331</v>
      </c>
      <c r="AB334" s="2" t="str">
        <f t="shared" si="5"/>
        <v>PASS</v>
      </c>
      <c r="AV334" s="1"/>
      <c r="AW334" s="1"/>
      <c r="AX334" s="1"/>
    </row>
    <row r="335" spans="1:50">
      <c r="A335" s="1" t="s">
        <v>358</v>
      </c>
      <c r="B335" s="1" t="s">
        <v>24</v>
      </c>
      <c r="C335" s="2">
        <v>46258.444535416667</v>
      </c>
      <c r="D335" s="2">
        <v>45245.014884479169</v>
      </c>
      <c r="E335" s="2">
        <v>46258.385596342596</v>
      </c>
      <c r="F335" s="1" t="s">
        <v>605</v>
      </c>
      <c r="G335" s="1" t="s">
        <v>25</v>
      </c>
      <c r="H335" s="3">
        <v>45244</v>
      </c>
      <c r="I335" s="1">
        <v>4304.869999999999</v>
      </c>
      <c r="J335" s="1">
        <v>4210</v>
      </c>
      <c r="K335" s="1">
        <v>-94.869999999998981</v>
      </c>
      <c r="L335" s="1">
        <v>2847.6</v>
      </c>
      <c r="M335" s="1">
        <v>2240</v>
      </c>
      <c r="N335" s="1">
        <v>-607.59999999999991</v>
      </c>
      <c r="O335" s="1">
        <v>956.68</v>
      </c>
      <c r="P335" s="1">
        <v>3190</v>
      </c>
      <c r="Q335" s="1">
        <v>2233.3200000000002</v>
      </c>
      <c r="R335" s="1">
        <v>4100</v>
      </c>
      <c r="S335" s="1">
        <v>5170</v>
      </c>
      <c r="T335" s="1">
        <v>1070</v>
      </c>
      <c r="U335" s="1">
        <v>2150</v>
      </c>
      <c r="V335" s="1">
        <v>14810</v>
      </c>
      <c r="W335" s="1">
        <v>2600.8500000000013</v>
      </c>
      <c r="X335" s="1">
        <v>450.85000000000127</v>
      </c>
      <c r="AB335" s="2" t="str">
        <f t="shared" si="5"/>
        <v>PASS</v>
      </c>
      <c r="AV335" s="1"/>
      <c r="AW335" s="1"/>
      <c r="AX335" s="1"/>
    </row>
    <row r="336" spans="1:50">
      <c r="A336" s="1" t="s">
        <v>359</v>
      </c>
      <c r="B336" s="1" t="s">
        <v>24</v>
      </c>
      <c r="C336" s="2">
        <v>46258.4445371412</v>
      </c>
      <c r="D336" s="2">
        <v>45246.009411053237</v>
      </c>
      <c r="E336" s="2">
        <v>46258.385596423614</v>
      </c>
      <c r="F336" s="1" t="s">
        <v>605</v>
      </c>
      <c r="G336" s="1" t="s">
        <v>25</v>
      </c>
      <c r="H336" s="3">
        <v>45245</v>
      </c>
      <c r="I336" s="1">
        <v>6709.0700000000024</v>
      </c>
      <c r="J336" s="1">
        <v>4080</v>
      </c>
      <c r="K336" s="1">
        <v>-2629.0700000000024</v>
      </c>
      <c r="L336" s="1">
        <v>2387.6999999999998</v>
      </c>
      <c r="M336" s="1">
        <v>4400</v>
      </c>
      <c r="N336" s="1">
        <v>2012.3</v>
      </c>
      <c r="O336" s="1">
        <v>0</v>
      </c>
      <c r="P336" s="1">
        <v>0</v>
      </c>
      <c r="Q336" s="1">
        <v>0</v>
      </c>
      <c r="R336" s="1">
        <v>1510</v>
      </c>
      <c r="S336" s="1">
        <v>1880</v>
      </c>
      <c r="T336" s="1">
        <v>370</v>
      </c>
      <c r="U336" s="1">
        <v>2150</v>
      </c>
      <c r="V336" s="1">
        <v>10360</v>
      </c>
      <c r="W336" s="1">
        <v>-246.77000000000223</v>
      </c>
      <c r="X336" s="1">
        <v>-2396.7700000000023</v>
      </c>
      <c r="AB336" s="2" t="str">
        <f t="shared" si="5"/>
        <v>PASS</v>
      </c>
      <c r="AV336" s="1"/>
      <c r="AW336" s="1"/>
      <c r="AX336" s="1"/>
    </row>
    <row r="337" spans="1:50">
      <c r="A337" s="1" t="s">
        <v>360</v>
      </c>
      <c r="B337" s="1" t="s">
        <v>24</v>
      </c>
      <c r="C337" s="2">
        <v>46258.444538495372</v>
      </c>
      <c r="D337" s="2">
        <v>45246.977739062502</v>
      </c>
      <c r="E337" s="2">
        <v>46258.385596481479</v>
      </c>
      <c r="F337" s="1" t="s">
        <v>605</v>
      </c>
      <c r="G337" s="1" t="s">
        <v>25</v>
      </c>
      <c r="H337" s="3">
        <v>45246</v>
      </c>
      <c r="I337" s="1">
        <v>5052.6849999999977</v>
      </c>
      <c r="J337" s="1">
        <v>5730</v>
      </c>
      <c r="K337" s="1">
        <v>677.31500000000233</v>
      </c>
      <c r="L337" s="1">
        <v>1161.8999999999994</v>
      </c>
      <c r="M337" s="1">
        <v>3050</v>
      </c>
      <c r="N337" s="1">
        <v>1888.1000000000008</v>
      </c>
      <c r="O337" s="1">
        <v>606.60000000000014</v>
      </c>
      <c r="P337" s="1">
        <v>0</v>
      </c>
      <c r="Q337" s="1">
        <v>-606.60000000000014</v>
      </c>
      <c r="R337" s="1">
        <v>1223.3333333333337</v>
      </c>
      <c r="S337" s="1">
        <v>1580</v>
      </c>
      <c r="T337" s="1">
        <v>356.66666666666652</v>
      </c>
      <c r="U337" s="1">
        <v>2150</v>
      </c>
      <c r="V337" s="1">
        <v>10360</v>
      </c>
      <c r="W337" s="1">
        <v>2315.4816666666693</v>
      </c>
      <c r="X337" s="1">
        <v>165.4816666666693</v>
      </c>
      <c r="AB337" s="2" t="str">
        <f t="shared" si="5"/>
        <v>PASS</v>
      </c>
      <c r="AV337" s="1"/>
      <c r="AW337" s="1"/>
      <c r="AX337" s="1"/>
    </row>
    <row r="338" spans="1:50">
      <c r="A338" s="1" t="s">
        <v>361</v>
      </c>
      <c r="B338" s="1" t="s">
        <v>24</v>
      </c>
      <c r="C338" s="2">
        <v>46258.444540092591</v>
      </c>
      <c r="D338" s="2">
        <v>45248.007466342591</v>
      </c>
      <c r="E338" s="2">
        <v>46258.385596886576</v>
      </c>
      <c r="F338" s="1" t="s">
        <v>605</v>
      </c>
      <c r="G338" s="1" t="s">
        <v>25</v>
      </c>
      <c r="H338" s="3">
        <v>45247</v>
      </c>
      <c r="I338" s="1">
        <v>6367.3950000000013</v>
      </c>
      <c r="J338" s="1">
        <v>7240</v>
      </c>
      <c r="K338" s="1">
        <v>872.60499999999877</v>
      </c>
      <c r="L338" s="1">
        <v>1371.2000000000005</v>
      </c>
      <c r="M338" s="1">
        <v>900</v>
      </c>
      <c r="N338" s="1">
        <v>-471.20000000000022</v>
      </c>
      <c r="O338" s="1">
        <v>651.54999999999995</v>
      </c>
      <c r="P338" s="1">
        <v>2350</v>
      </c>
      <c r="Q338" s="1">
        <v>1698.45</v>
      </c>
      <c r="R338" s="1">
        <v>1238.3333333333333</v>
      </c>
      <c r="S338" s="1">
        <v>1550</v>
      </c>
      <c r="T338" s="1">
        <v>311.66666666666674</v>
      </c>
      <c r="U338" s="1">
        <v>2150</v>
      </c>
      <c r="V338" s="1">
        <v>12040</v>
      </c>
      <c r="W338" s="1">
        <v>2411.5216666666656</v>
      </c>
      <c r="X338" s="1">
        <v>261.52166666666562</v>
      </c>
      <c r="AB338" s="2" t="str">
        <f t="shared" si="5"/>
        <v>PASS</v>
      </c>
      <c r="AV338" s="1"/>
      <c r="AW338" s="1"/>
      <c r="AX338" s="1"/>
    </row>
    <row r="339" spans="1:50">
      <c r="A339" s="1" t="s">
        <v>362</v>
      </c>
      <c r="B339" s="1" t="s">
        <v>24</v>
      </c>
      <c r="C339" s="2">
        <v>46258.444541689816</v>
      </c>
      <c r="D339" s="2">
        <v>45249.019000763888</v>
      </c>
      <c r="E339" s="2">
        <v>46258.385596956017</v>
      </c>
      <c r="F339" s="1" t="s">
        <v>605</v>
      </c>
      <c r="G339" s="1" t="s">
        <v>25</v>
      </c>
      <c r="H339" s="3">
        <v>45248</v>
      </c>
      <c r="I339" s="1">
        <v>6949.29</v>
      </c>
      <c r="J339" s="1">
        <v>4910</v>
      </c>
      <c r="K339" s="1">
        <v>-2039.29</v>
      </c>
      <c r="L339" s="1">
        <v>1880.2999999999995</v>
      </c>
      <c r="M339" s="1">
        <v>3950</v>
      </c>
      <c r="N339" s="1">
        <v>2069.7000000000003</v>
      </c>
      <c r="O339" s="1">
        <v>984.11999999999989</v>
      </c>
      <c r="P339" s="1">
        <v>3150</v>
      </c>
      <c r="Q339" s="1">
        <v>2165.88</v>
      </c>
      <c r="R339" s="1">
        <v>1603.3333333333333</v>
      </c>
      <c r="S339" s="1">
        <v>2080</v>
      </c>
      <c r="T339" s="1">
        <v>476.66666666666674</v>
      </c>
      <c r="U339" s="1">
        <v>2150</v>
      </c>
      <c r="V339" s="1">
        <v>14090</v>
      </c>
      <c r="W339" s="1">
        <v>2672.9566666666669</v>
      </c>
      <c r="X339" s="1">
        <v>522.95666666666693</v>
      </c>
      <c r="AB339" s="2" t="str">
        <f t="shared" si="5"/>
        <v>PASS</v>
      </c>
      <c r="AV339" s="1"/>
      <c r="AW339" s="1"/>
      <c r="AX339" s="1"/>
    </row>
    <row r="340" spans="1:50">
      <c r="A340" s="1" t="s">
        <v>363</v>
      </c>
      <c r="B340" s="1" t="s">
        <v>24</v>
      </c>
      <c r="C340" s="2">
        <v>46258.444543587961</v>
      </c>
      <c r="D340" s="2">
        <v>45250.013648495369</v>
      </c>
      <c r="E340" s="2">
        <v>46258.385597025466</v>
      </c>
      <c r="F340" s="1" t="s">
        <v>605</v>
      </c>
      <c r="G340" s="1" t="s">
        <v>25</v>
      </c>
      <c r="H340" s="3">
        <v>45249</v>
      </c>
      <c r="I340" s="1">
        <v>5353.0649999999978</v>
      </c>
      <c r="J340" s="1">
        <v>5080</v>
      </c>
      <c r="K340" s="1">
        <v>-273.06499999999778</v>
      </c>
      <c r="L340" s="1">
        <v>1434.3000000000002</v>
      </c>
      <c r="M340" s="1">
        <v>2400</v>
      </c>
      <c r="N340" s="1">
        <v>965.69999999999982</v>
      </c>
      <c r="O340" s="1">
        <v>939.78999999999985</v>
      </c>
      <c r="P340" s="1">
        <v>1860</v>
      </c>
      <c r="Q340" s="1">
        <v>920.21000000000015</v>
      </c>
      <c r="R340" s="1">
        <v>1105</v>
      </c>
      <c r="S340" s="1">
        <v>1400</v>
      </c>
      <c r="T340" s="1">
        <v>295</v>
      </c>
      <c r="U340" s="1">
        <v>2150</v>
      </c>
      <c r="V340" s="1">
        <v>10740</v>
      </c>
      <c r="W340" s="1">
        <v>1907.8450000000021</v>
      </c>
      <c r="X340" s="1">
        <v>-242.15499999999793</v>
      </c>
      <c r="AB340" s="2" t="str">
        <f t="shared" si="5"/>
        <v>PASS</v>
      </c>
      <c r="AV340" s="1"/>
      <c r="AW340" s="1"/>
      <c r="AX340" s="1"/>
    </row>
    <row r="341" spans="1:50">
      <c r="A341" s="1" t="s">
        <v>364</v>
      </c>
      <c r="B341" s="1" t="s">
        <v>24</v>
      </c>
      <c r="C341" s="2">
        <v>46258.444545023151</v>
      </c>
      <c r="D341" s="2">
        <v>45250.996194837964</v>
      </c>
      <c r="E341" s="2">
        <v>46258.385597106484</v>
      </c>
      <c r="F341" s="1" t="s">
        <v>605</v>
      </c>
      <c r="G341" s="1" t="s">
        <v>25</v>
      </c>
      <c r="H341" s="3">
        <v>45250</v>
      </c>
      <c r="I341" s="1">
        <v>4521.635000000002</v>
      </c>
      <c r="J341" s="1">
        <v>6230</v>
      </c>
      <c r="K341" s="1">
        <v>1708.364999999998</v>
      </c>
      <c r="L341" s="1">
        <v>1070.25</v>
      </c>
      <c r="M341" s="1">
        <v>1900</v>
      </c>
      <c r="N341" s="1">
        <v>829.75</v>
      </c>
      <c r="O341" s="1">
        <v>0</v>
      </c>
      <c r="P341" s="1">
        <v>0</v>
      </c>
      <c r="Q341" s="1">
        <v>0</v>
      </c>
      <c r="R341" s="1">
        <v>1023.3333333333334</v>
      </c>
      <c r="S341" s="1">
        <v>1270</v>
      </c>
      <c r="T341" s="1">
        <v>246.66666666666663</v>
      </c>
      <c r="U341" s="1">
        <v>2150</v>
      </c>
      <c r="V341" s="1">
        <v>9400</v>
      </c>
      <c r="W341" s="1">
        <v>2784.7816666666645</v>
      </c>
      <c r="X341" s="1">
        <v>634.78166666666448</v>
      </c>
      <c r="AB341" s="2" t="str">
        <f t="shared" si="5"/>
        <v>PASS</v>
      </c>
      <c r="AV341" s="1"/>
      <c r="AW341" s="1"/>
      <c r="AX341" s="1"/>
    </row>
    <row r="342" spans="1:50">
      <c r="A342" s="1" t="s">
        <v>365</v>
      </c>
      <c r="B342" s="1" t="s">
        <v>24</v>
      </c>
      <c r="C342" s="2">
        <v>46258.444546516206</v>
      </c>
      <c r="D342" s="2">
        <v>45252.003713402781</v>
      </c>
      <c r="E342" s="2">
        <v>46258.385597187502</v>
      </c>
      <c r="F342" s="1" t="s">
        <v>605</v>
      </c>
      <c r="G342" s="1" t="s">
        <v>25</v>
      </c>
      <c r="H342" s="3">
        <v>45251</v>
      </c>
      <c r="I342" s="1">
        <v>4548.58</v>
      </c>
      <c r="J342" s="1">
        <v>2720</v>
      </c>
      <c r="K342" s="1">
        <v>-1828.58</v>
      </c>
      <c r="L342" s="1">
        <v>3945.3</v>
      </c>
      <c r="M342" s="1">
        <v>7200</v>
      </c>
      <c r="N342" s="1">
        <v>3254.7</v>
      </c>
      <c r="O342" s="1">
        <v>361.31000000000023</v>
      </c>
      <c r="P342" s="1">
        <v>980</v>
      </c>
      <c r="Q342" s="1">
        <v>618.68999999999983</v>
      </c>
      <c r="R342" s="1">
        <v>936.66666666666674</v>
      </c>
      <c r="S342" s="1">
        <v>1210</v>
      </c>
      <c r="T342" s="1">
        <v>273.33333333333326</v>
      </c>
      <c r="U342" s="1">
        <v>2150</v>
      </c>
      <c r="V342" s="1">
        <v>12110</v>
      </c>
      <c r="W342" s="1">
        <v>2318.143333333333</v>
      </c>
      <c r="X342" s="1">
        <v>168.14333333333298</v>
      </c>
      <c r="AB342" s="2" t="str">
        <f t="shared" si="5"/>
        <v>PASS</v>
      </c>
      <c r="AV342" s="1"/>
      <c r="AW342" s="1"/>
      <c r="AX342" s="1"/>
    </row>
    <row r="343" spans="1:50">
      <c r="A343" s="1" t="s">
        <v>366</v>
      </c>
      <c r="B343" s="1" t="s">
        <v>24</v>
      </c>
      <c r="C343" s="2">
        <v>46258.444547858795</v>
      </c>
      <c r="D343" s="2">
        <v>45253.010466412037</v>
      </c>
      <c r="E343" s="2">
        <v>46258.38559726852</v>
      </c>
      <c r="F343" s="1" t="s">
        <v>605</v>
      </c>
      <c r="G343" s="1" t="s">
        <v>25</v>
      </c>
      <c r="H343" s="3">
        <v>45252</v>
      </c>
      <c r="I343" s="1">
        <v>5448.9799999999987</v>
      </c>
      <c r="J343" s="1">
        <v>4020</v>
      </c>
      <c r="K343" s="1">
        <v>-1428.9799999999989</v>
      </c>
      <c r="L343" s="1">
        <v>1681.3499999999997</v>
      </c>
      <c r="M343" s="1">
        <v>3350</v>
      </c>
      <c r="N343" s="1">
        <v>1668.6500000000003</v>
      </c>
      <c r="O343" s="1">
        <v>271.3599999999999</v>
      </c>
      <c r="P343" s="1">
        <v>730</v>
      </c>
      <c r="Q343" s="1">
        <v>458.6400000000001</v>
      </c>
      <c r="R343" s="1">
        <v>925.00000000000011</v>
      </c>
      <c r="S343" s="1">
        <v>1190</v>
      </c>
      <c r="T343" s="1">
        <v>264.99999999999989</v>
      </c>
      <c r="U343" s="1">
        <v>2150</v>
      </c>
      <c r="V343" s="1">
        <v>9290</v>
      </c>
      <c r="W343" s="1">
        <v>963.31000000000165</v>
      </c>
      <c r="X343" s="1">
        <v>-1186.6899999999982</v>
      </c>
      <c r="AB343" s="2" t="str">
        <f t="shared" si="5"/>
        <v>PASS</v>
      </c>
      <c r="AV343" s="1"/>
      <c r="AW343" s="1"/>
      <c r="AX343" s="1"/>
    </row>
    <row r="344" spans="1:50">
      <c r="A344" s="1" t="s">
        <v>367</v>
      </c>
      <c r="B344" s="1" t="s">
        <v>24</v>
      </c>
      <c r="C344" s="2">
        <v>46258.444548993059</v>
      </c>
      <c r="D344" s="2">
        <v>45253.987454826391</v>
      </c>
      <c r="E344" s="2">
        <v>46258.385597569446</v>
      </c>
      <c r="F344" s="1" t="s">
        <v>605</v>
      </c>
      <c r="G344" s="1" t="s">
        <v>25</v>
      </c>
      <c r="H344" s="3">
        <v>45253</v>
      </c>
      <c r="I344" s="1">
        <v>5003.9300000000021</v>
      </c>
      <c r="J344" s="1">
        <v>5770</v>
      </c>
      <c r="K344" s="1">
        <v>766.06999999999789</v>
      </c>
      <c r="L344" s="1">
        <v>955.9000000000002</v>
      </c>
      <c r="M344" s="1">
        <v>2450</v>
      </c>
      <c r="N344" s="1">
        <v>1494.1</v>
      </c>
      <c r="O344" s="1">
        <v>0</v>
      </c>
      <c r="P344" s="1">
        <v>0</v>
      </c>
      <c r="Q344" s="1">
        <v>0</v>
      </c>
      <c r="R344" s="1">
        <v>1100</v>
      </c>
      <c r="S344" s="1">
        <v>1420</v>
      </c>
      <c r="T344" s="1">
        <v>320</v>
      </c>
      <c r="U344" s="1">
        <v>2150</v>
      </c>
      <c r="V344" s="1">
        <v>9640</v>
      </c>
      <c r="W344" s="1">
        <v>2580.1699999999978</v>
      </c>
      <c r="X344" s="1">
        <v>430.1699999999978</v>
      </c>
      <c r="AB344" s="2" t="str">
        <f t="shared" si="5"/>
        <v>PASS</v>
      </c>
      <c r="AV344" s="1"/>
      <c r="AW344" s="1"/>
      <c r="AX344" s="1"/>
    </row>
    <row r="345" spans="1:50">
      <c r="A345" s="1" t="s">
        <v>368</v>
      </c>
      <c r="B345" s="1" t="s">
        <v>24</v>
      </c>
      <c r="C345" s="2">
        <v>46258.444550127315</v>
      </c>
      <c r="D345" s="2">
        <v>45255.003272164351</v>
      </c>
      <c r="E345" s="2">
        <v>46258.385597650464</v>
      </c>
      <c r="F345" s="1" t="s">
        <v>605</v>
      </c>
      <c r="G345" s="1" t="s">
        <v>25</v>
      </c>
      <c r="H345" s="3">
        <v>45254</v>
      </c>
      <c r="I345" s="1">
        <v>5463.2549999999992</v>
      </c>
      <c r="J345" s="1">
        <v>6560</v>
      </c>
      <c r="K345" s="1">
        <v>1096.7450000000008</v>
      </c>
      <c r="L345" s="1">
        <v>1610.5</v>
      </c>
      <c r="M345" s="1">
        <v>2150</v>
      </c>
      <c r="N345" s="1">
        <v>539.5</v>
      </c>
      <c r="O345" s="1">
        <v>612.46999999999991</v>
      </c>
      <c r="P345" s="1">
        <v>2010</v>
      </c>
      <c r="Q345" s="1">
        <v>1397.5300000000002</v>
      </c>
      <c r="R345" s="1">
        <v>725</v>
      </c>
      <c r="S345" s="1">
        <v>940</v>
      </c>
      <c r="T345" s="1">
        <v>215</v>
      </c>
      <c r="U345" s="1">
        <v>2150</v>
      </c>
      <c r="V345" s="1">
        <v>11660</v>
      </c>
      <c r="W345" s="1">
        <v>3248.775000000001</v>
      </c>
      <c r="X345" s="1">
        <v>1098.775000000001</v>
      </c>
      <c r="AB345" s="2" t="str">
        <f t="shared" si="5"/>
        <v>PASS</v>
      </c>
      <c r="AV345" s="1"/>
      <c r="AW345" s="1"/>
      <c r="AX345" s="1"/>
    </row>
    <row r="346" spans="1:50">
      <c r="A346" s="1" t="s">
        <v>369</v>
      </c>
      <c r="B346" s="1" t="s">
        <v>24</v>
      </c>
      <c r="C346" s="2">
        <v>46258.444551307868</v>
      </c>
      <c r="D346" s="2">
        <v>45256.004187164355</v>
      </c>
      <c r="E346" s="2">
        <v>46258.385597731482</v>
      </c>
      <c r="F346" s="1" t="s">
        <v>605</v>
      </c>
      <c r="G346" s="1" t="s">
        <v>25</v>
      </c>
      <c r="H346" s="3">
        <v>45255</v>
      </c>
      <c r="I346" s="1">
        <v>5938.65</v>
      </c>
      <c r="J346" s="1">
        <v>7140</v>
      </c>
      <c r="K346" s="1">
        <v>1201.3500000000004</v>
      </c>
      <c r="L346" s="1">
        <v>2878.3500000000008</v>
      </c>
      <c r="M346" s="1">
        <v>5150</v>
      </c>
      <c r="N346" s="1">
        <v>2271.6499999999992</v>
      </c>
      <c r="O346" s="1">
        <v>1526.68</v>
      </c>
      <c r="P346" s="1">
        <v>3280</v>
      </c>
      <c r="Q346" s="1">
        <v>1753.32</v>
      </c>
      <c r="R346" s="1">
        <v>1263.3333333333333</v>
      </c>
      <c r="S346" s="1">
        <v>1580</v>
      </c>
      <c r="T346" s="1">
        <v>316.66666666666674</v>
      </c>
      <c r="U346" s="1">
        <v>2150</v>
      </c>
      <c r="V346" s="1">
        <v>17150</v>
      </c>
      <c r="W346" s="1">
        <v>5542.9866666666667</v>
      </c>
      <c r="X346" s="1">
        <v>3392.9866666666667</v>
      </c>
      <c r="AB346" s="2" t="str">
        <f t="shared" si="5"/>
        <v>PASS</v>
      </c>
      <c r="AV346" s="1"/>
      <c r="AW346" s="1"/>
      <c r="AX346" s="1"/>
    </row>
    <row r="347" spans="1:50">
      <c r="A347" s="1" t="s">
        <v>370</v>
      </c>
      <c r="B347" s="1" t="s">
        <v>24</v>
      </c>
      <c r="C347" s="2">
        <v>46258.444552627312</v>
      </c>
      <c r="D347" s="2">
        <v>45257.006195335649</v>
      </c>
      <c r="E347" s="2">
        <v>46258.385597812499</v>
      </c>
      <c r="F347" s="1" t="s">
        <v>605</v>
      </c>
      <c r="G347" s="1" t="s">
        <v>25</v>
      </c>
      <c r="H347" s="3">
        <v>45256</v>
      </c>
      <c r="I347" s="1">
        <v>5404.715000000002</v>
      </c>
      <c r="J347" s="1">
        <v>5430</v>
      </c>
      <c r="K347" s="1">
        <v>25.284999999998035</v>
      </c>
      <c r="L347" s="1">
        <v>1586.3</v>
      </c>
      <c r="M347" s="1">
        <v>1850</v>
      </c>
      <c r="N347" s="1">
        <v>263.70000000000005</v>
      </c>
      <c r="O347" s="1">
        <v>485.46000000000004</v>
      </c>
      <c r="P347" s="1">
        <v>1280</v>
      </c>
      <c r="Q347" s="1">
        <v>794.54</v>
      </c>
      <c r="R347" s="1">
        <v>1218.3333333333337</v>
      </c>
      <c r="S347" s="1">
        <v>1540</v>
      </c>
      <c r="T347" s="1">
        <v>321.66666666666652</v>
      </c>
      <c r="U347" s="1">
        <v>2150</v>
      </c>
      <c r="V347" s="1">
        <v>10100</v>
      </c>
      <c r="W347" s="1">
        <v>1405.1916666666646</v>
      </c>
      <c r="X347" s="1">
        <v>-744.80833333333533</v>
      </c>
      <c r="AB347" s="2" t="str">
        <f t="shared" si="5"/>
        <v>PASS</v>
      </c>
      <c r="AV347" s="1"/>
      <c r="AW347" s="1"/>
      <c r="AX347" s="1"/>
    </row>
    <row r="348" spans="1:50">
      <c r="A348" s="1" t="s">
        <v>371</v>
      </c>
      <c r="B348" s="1" t="s">
        <v>24</v>
      </c>
      <c r="C348" s="2">
        <v>46258.444554224538</v>
      </c>
      <c r="D348" s="2">
        <v>45258.997179895836</v>
      </c>
      <c r="E348" s="2">
        <v>46258.385597881941</v>
      </c>
      <c r="F348" s="1" t="s">
        <v>605</v>
      </c>
      <c r="G348" s="1" t="s">
        <v>25</v>
      </c>
      <c r="H348" s="3">
        <v>45257</v>
      </c>
      <c r="I348" s="1">
        <v>4904.7899999999991</v>
      </c>
      <c r="J348" s="1">
        <v>6550</v>
      </c>
      <c r="K348" s="1">
        <v>1645.2100000000007</v>
      </c>
      <c r="L348" s="1">
        <v>693.1099999999999</v>
      </c>
      <c r="M348" s="1">
        <v>1950</v>
      </c>
      <c r="N348" s="1">
        <v>1256.8900000000001</v>
      </c>
      <c r="O348" s="1">
        <v>77.000000000000057</v>
      </c>
      <c r="P348" s="1">
        <v>400</v>
      </c>
      <c r="Q348" s="1">
        <v>322.99999999999994</v>
      </c>
      <c r="R348" s="1">
        <v>605</v>
      </c>
      <c r="S348" s="1">
        <v>790</v>
      </c>
      <c r="T348" s="1">
        <v>185</v>
      </c>
      <c r="U348" s="1">
        <v>2150</v>
      </c>
      <c r="V348" s="1">
        <v>9690</v>
      </c>
      <c r="W348" s="1">
        <v>3410.1000000000013</v>
      </c>
      <c r="X348" s="1">
        <v>1260.1000000000013</v>
      </c>
      <c r="AB348" s="2" t="str">
        <f t="shared" si="5"/>
        <v>PASS</v>
      </c>
      <c r="AV348" s="1"/>
      <c r="AW348" s="1"/>
      <c r="AX348" s="1"/>
    </row>
    <row r="349" spans="1:50">
      <c r="A349" s="1" t="s">
        <v>372</v>
      </c>
      <c r="B349" s="1" t="s">
        <v>24</v>
      </c>
      <c r="C349" s="2">
        <v>46258.444555300928</v>
      </c>
      <c r="D349" s="2">
        <v>45259.001032395834</v>
      </c>
      <c r="E349" s="2">
        <v>46258.38559795139</v>
      </c>
      <c r="F349" s="1" t="s">
        <v>605</v>
      </c>
      <c r="G349" s="1" t="s">
        <v>25</v>
      </c>
      <c r="H349" s="3">
        <v>45258</v>
      </c>
      <c r="I349" s="1">
        <v>4473.7199999999993</v>
      </c>
      <c r="J349" s="1">
        <v>3530</v>
      </c>
      <c r="K349" s="1">
        <v>-943.71999999999935</v>
      </c>
      <c r="L349" s="1">
        <v>1685.8</v>
      </c>
      <c r="M349" s="1">
        <v>3050</v>
      </c>
      <c r="N349" s="1">
        <v>1364.2</v>
      </c>
      <c r="O349" s="1">
        <v>725.02</v>
      </c>
      <c r="P349" s="1">
        <v>1900</v>
      </c>
      <c r="Q349" s="1">
        <v>1174.98</v>
      </c>
      <c r="R349" s="1">
        <v>863.33333333333348</v>
      </c>
      <c r="S349" s="1">
        <v>1080</v>
      </c>
      <c r="T349" s="1">
        <v>216.66666666666663</v>
      </c>
      <c r="U349" s="1">
        <v>2150</v>
      </c>
      <c r="V349" s="1">
        <v>9560</v>
      </c>
      <c r="W349" s="1">
        <v>1812.1266666666677</v>
      </c>
      <c r="X349" s="1">
        <v>-337.87333333333254</v>
      </c>
      <c r="AB349" s="2" t="str">
        <f t="shared" si="5"/>
        <v>PASS</v>
      </c>
      <c r="AV349" s="1"/>
      <c r="AW349" s="1"/>
      <c r="AX349" s="1"/>
    </row>
    <row r="350" spans="1:50">
      <c r="A350" s="1" t="s">
        <v>373</v>
      </c>
      <c r="B350" s="1" t="s">
        <v>24</v>
      </c>
      <c r="C350" s="2">
        <v>46258.444556631941</v>
      </c>
      <c r="D350" s="2">
        <v>45259.992876875003</v>
      </c>
      <c r="E350" s="2">
        <v>46258.385598310182</v>
      </c>
      <c r="F350" s="1" t="s">
        <v>605</v>
      </c>
      <c r="G350" s="1" t="s">
        <v>25</v>
      </c>
      <c r="H350" s="3">
        <v>45259</v>
      </c>
      <c r="I350" s="1">
        <v>4843.91</v>
      </c>
      <c r="J350" s="1">
        <v>6290</v>
      </c>
      <c r="K350" s="1">
        <v>1446.09</v>
      </c>
      <c r="L350" s="1">
        <v>1546.1</v>
      </c>
      <c r="M350" s="1">
        <v>2000</v>
      </c>
      <c r="N350" s="1">
        <v>453.90000000000009</v>
      </c>
      <c r="O350" s="1">
        <v>596.96</v>
      </c>
      <c r="P350" s="1">
        <v>1330</v>
      </c>
      <c r="Q350" s="1">
        <v>733.04</v>
      </c>
      <c r="R350" s="1">
        <v>1060</v>
      </c>
      <c r="S350" s="1">
        <v>1380</v>
      </c>
      <c r="T350" s="1">
        <v>320</v>
      </c>
      <c r="U350" s="1">
        <v>2150</v>
      </c>
      <c r="V350" s="1">
        <v>11000</v>
      </c>
      <c r="W350" s="1">
        <v>2953.03</v>
      </c>
      <c r="X350" s="1">
        <v>803.0300000000002</v>
      </c>
      <c r="AB350" s="2" t="str">
        <f t="shared" si="5"/>
        <v>PASS</v>
      </c>
      <c r="AV350" s="1"/>
      <c r="AW350" s="1"/>
      <c r="AX350" s="1"/>
    </row>
    <row r="351" spans="1:50">
      <c r="A351" s="1" t="s">
        <v>374</v>
      </c>
      <c r="B351" s="1" t="s">
        <v>24</v>
      </c>
      <c r="C351" s="2">
        <v>46258.444558240742</v>
      </c>
      <c r="D351" s="2">
        <v>45261.089863587964</v>
      </c>
      <c r="E351" s="2">
        <v>46258.385598379631</v>
      </c>
      <c r="F351" s="1" t="s">
        <v>605</v>
      </c>
      <c r="G351" s="1" t="s">
        <v>25</v>
      </c>
      <c r="H351" s="3">
        <v>45260</v>
      </c>
      <c r="I351" s="1">
        <v>6358.7200000000012</v>
      </c>
      <c r="J351" s="1">
        <v>6120</v>
      </c>
      <c r="K351" s="1">
        <v>-238.72000000000116</v>
      </c>
      <c r="L351" s="1">
        <v>2312.36</v>
      </c>
      <c r="M351" s="1">
        <v>3600</v>
      </c>
      <c r="N351" s="1">
        <v>1287.6400000000001</v>
      </c>
      <c r="O351" s="1">
        <v>1108.0700000000002</v>
      </c>
      <c r="P351" s="1">
        <v>2880</v>
      </c>
      <c r="Q351" s="1">
        <v>1771.9299999999998</v>
      </c>
      <c r="R351" s="1">
        <v>971.66666666666674</v>
      </c>
      <c r="S351" s="1">
        <v>1280</v>
      </c>
      <c r="T351" s="1">
        <v>308.33333333333326</v>
      </c>
      <c r="U351" s="1">
        <v>2150</v>
      </c>
      <c r="V351" s="1">
        <v>13880</v>
      </c>
      <c r="W351" s="1">
        <v>3129.1833333333316</v>
      </c>
      <c r="X351" s="1">
        <v>979.18333333333157</v>
      </c>
      <c r="AB351" s="2" t="str">
        <f t="shared" si="5"/>
        <v>PASS</v>
      </c>
      <c r="AV351" s="1"/>
      <c r="AW351" s="1"/>
      <c r="AX351" s="1"/>
    </row>
    <row r="352" spans="1:50">
      <c r="A352" s="1" t="s">
        <v>375</v>
      </c>
      <c r="B352" s="1" t="s">
        <v>24</v>
      </c>
      <c r="C352" s="2">
        <v>46258.444282129632</v>
      </c>
      <c r="D352" s="2">
        <v>45262.00122489583</v>
      </c>
      <c r="E352" s="2">
        <v>46258.385567476849</v>
      </c>
      <c r="F352" s="1" t="s">
        <v>606</v>
      </c>
      <c r="G352" s="1" t="s">
        <v>25</v>
      </c>
      <c r="H352" s="3">
        <v>45261</v>
      </c>
      <c r="I352" s="1">
        <v>7534.1099999999988</v>
      </c>
      <c r="J352" s="1">
        <v>7380</v>
      </c>
      <c r="K352" s="1">
        <v>-154.10999999999876</v>
      </c>
      <c r="L352" s="1">
        <v>3469.79</v>
      </c>
      <c r="M352" s="1">
        <v>4950</v>
      </c>
      <c r="N352" s="1">
        <v>1480.21</v>
      </c>
      <c r="O352" s="1">
        <v>275.66000000000008</v>
      </c>
      <c r="P352" s="1">
        <v>750</v>
      </c>
      <c r="Q352" s="1">
        <v>474.33999999999992</v>
      </c>
      <c r="R352" s="1">
        <v>846.66666666666674</v>
      </c>
      <c r="S352" s="1">
        <v>1080</v>
      </c>
      <c r="T352" s="1">
        <v>233.33333333333329</v>
      </c>
      <c r="U352" s="1">
        <v>2150</v>
      </c>
      <c r="V352" s="1">
        <v>14160</v>
      </c>
      <c r="W352" s="1">
        <v>2033.7733333333344</v>
      </c>
      <c r="X352" s="1">
        <v>-116.22666666666557</v>
      </c>
      <c r="AB352" s="2" t="str">
        <f t="shared" si="5"/>
        <v>PASS</v>
      </c>
      <c r="AV352" s="1"/>
      <c r="AW352" s="1"/>
      <c r="AX352" s="1"/>
    </row>
    <row r="353" spans="1:50">
      <c r="A353" s="1" t="s">
        <v>376</v>
      </c>
      <c r="B353" s="1" t="s">
        <v>24</v>
      </c>
      <c r="C353" s="2">
        <v>46258.444283599536</v>
      </c>
      <c r="D353" s="2">
        <v>45263.010404745371</v>
      </c>
      <c r="E353" s="2">
        <v>46258.385567557867</v>
      </c>
      <c r="F353" s="1" t="s">
        <v>606</v>
      </c>
      <c r="G353" s="1" t="s">
        <v>25</v>
      </c>
      <c r="H353" s="3">
        <v>45262</v>
      </c>
      <c r="I353" s="1">
        <v>6336.2650000000003</v>
      </c>
      <c r="J353" s="1">
        <v>5930</v>
      </c>
      <c r="K353" s="1">
        <v>-406.26500000000033</v>
      </c>
      <c r="L353" s="1">
        <v>1876.6</v>
      </c>
      <c r="M353" s="1">
        <v>3550</v>
      </c>
      <c r="N353" s="1">
        <v>1673.4</v>
      </c>
      <c r="O353" s="1">
        <v>236.64999999999992</v>
      </c>
      <c r="P353" s="1">
        <v>750</v>
      </c>
      <c r="Q353" s="1">
        <v>513.35000000000014</v>
      </c>
      <c r="R353" s="1">
        <v>1648.3333333333333</v>
      </c>
      <c r="S353" s="1">
        <v>2100</v>
      </c>
      <c r="T353" s="1">
        <v>451.66666666666674</v>
      </c>
      <c r="U353" s="1">
        <v>2150</v>
      </c>
      <c r="V353" s="1">
        <v>12330</v>
      </c>
      <c r="W353" s="1">
        <v>2232.1516666666662</v>
      </c>
      <c r="X353" s="1">
        <v>82.151666666666642</v>
      </c>
      <c r="AB353" s="2" t="str">
        <f t="shared" si="5"/>
        <v>PASS</v>
      </c>
      <c r="AV353" s="1"/>
      <c r="AW353" s="1"/>
      <c r="AX353" s="1"/>
    </row>
    <row r="354" spans="1:50">
      <c r="A354" s="1" t="s">
        <v>377</v>
      </c>
      <c r="B354" s="1" t="s">
        <v>24</v>
      </c>
      <c r="C354" s="2">
        <v>46258.444284618054</v>
      </c>
      <c r="D354" s="2">
        <v>45265.030340671299</v>
      </c>
      <c r="E354" s="2">
        <v>46258.385567812496</v>
      </c>
      <c r="F354" s="1" t="s">
        <v>606</v>
      </c>
      <c r="G354" s="1" t="s">
        <v>25</v>
      </c>
      <c r="H354" s="3">
        <v>45263</v>
      </c>
      <c r="I354" s="1">
        <v>5857.3350000000009</v>
      </c>
      <c r="J354" s="1">
        <v>5210</v>
      </c>
      <c r="K354" s="1">
        <v>-647.33500000000095</v>
      </c>
      <c r="L354" s="1">
        <v>1459.7500000000002</v>
      </c>
      <c r="M354" s="1">
        <v>2300</v>
      </c>
      <c r="N354" s="1">
        <v>840.24999999999989</v>
      </c>
      <c r="O354" s="1">
        <v>395.09</v>
      </c>
      <c r="P354" s="1">
        <v>1350</v>
      </c>
      <c r="Q354" s="1">
        <v>954.91000000000008</v>
      </c>
      <c r="R354" s="1">
        <v>998.33333333333326</v>
      </c>
      <c r="S354" s="1">
        <v>1270</v>
      </c>
      <c r="T354" s="1">
        <v>271.66666666666674</v>
      </c>
      <c r="U354" s="1">
        <v>2150</v>
      </c>
      <c r="V354" s="1">
        <v>10130</v>
      </c>
      <c r="W354" s="1">
        <v>1419.4916666666657</v>
      </c>
      <c r="X354" s="1">
        <v>-730.50833333333435</v>
      </c>
      <c r="AB354" s="2" t="str">
        <f t="shared" si="5"/>
        <v>PASS</v>
      </c>
      <c r="AV354" s="1"/>
      <c r="AW354" s="1"/>
      <c r="AX354" s="1"/>
    </row>
    <row r="355" spans="1:50">
      <c r="A355" s="1" t="s">
        <v>378</v>
      </c>
      <c r="B355" s="1" t="s">
        <v>24</v>
      </c>
      <c r="C355" s="2">
        <v>46258.444285902777</v>
      </c>
      <c r="D355" s="2">
        <v>45265.033843680554</v>
      </c>
      <c r="E355" s="2">
        <v>46258.385567893522</v>
      </c>
      <c r="F355" s="1" t="s">
        <v>606</v>
      </c>
      <c r="G355" s="1" t="s">
        <v>25</v>
      </c>
      <c r="H355" s="3">
        <v>45264</v>
      </c>
      <c r="I355" s="1">
        <v>6444.5649999999987</v>
      </c>
      <c r="J355" s="1">
        <v>6450</v>
      </c>
      <c r="K355" s="1">
        <v>5.4350000000013097</v>
      </c>
      <c r="L355" s="1">
        <v>2983.2500000000005</v>
      </c>
      <c r="M355" s="1">
        <v>4300</v>
      </c>
      <c r="N355" s="1">
        <v>1316.7499999999995</v>
      </c>
      <c r="O355" s="1">
        <v>390.57000000000005</v>
      </c>
      <c r="P355" s="1">
        <v>480</v>
      </c>
      <c r="Q355" s="1">
        <v>89.42999999999995</v>
      </c>
      <c r="R355" s="1">
        <v>1076.6666666666663</v>
      </c>
      <c r="S355" s="1">
        <v>1390</v>
      </c>
      <c r="T355" s="1">
        <v>313.33333333333348</v>
      </c>
      <c r="U355" s="1">
        <v>2150</v>
      </c>
      <c r="V355" s="1">
        <v>12620</v>
      </c>
      <c r="W355" s="1">
        <v>1724.9483333333342</v>
      </c>
      <c r="X355" s="1">
        <v>-425.05166666666582</v>
      </c>
      <c r="AB355" s="2" t="str">
        <f t="shared" si="5"/>
        <v>PASS</v>
      </c>
      <c r="AV355" s="1"/>
      <c r="AW355" s="1"/>
      <c r="AX355" s="1"/>
    </row>
    <row r="356" spans="1:50">
      <c r="A356" s="1" t="s">
        <v>379</v>
      </c>
      <c r="B356" s="1" t="s">
        <v>24</v>
      </c>
      <c r="C356" s="2">
        <v>46258.444287303239</v>
      </c>
      <c r="D356" s="2">
        <v>45266.972295567131</v>
      </c>
      <c r="E356" s="2">
        <v>46258.385567974539</v>
      </c>
      <c r="F356" s="1" t="s">
        <v>606</v>
      </c>
      <c r="G356" s="1" t="s">
        <v>25</v>
      </c>
      <c r="H356" s="3">
        <v>45265</v>
      </c>
      <c r="I356" s="1">
        <v>4780.9750000000022</v>
      </c>
      <c r="J356" s="1">
        <v>6810</v>
      </c>
      <c r="K356" s="1">
        <v>2029.0249999999976</v>
      </c>
      <c r="L356" s="1">
        <v>2249.3000000000006</v>
      </c>
      <c r="M356" s="1">
        <v>5200</v>
      </c>
      <c r="N356" s="1">
        <v>2950.6999999999994</v>
      </c>
      <c r="O356" s="1">
        <v>1071.51</v>
      </c>
      <c r="P356" s="1">
        <v>1630</v>
      </c>
      <c r="Q356" s="1">
        <v>558.49</v>
      </c>
      <c r="R356" s="1">
        <v>666.66666666666663</v>
      </c>
      <c r="S356" s="1">
        <v>850</v>
      </c>
      <c r="T356" s="1">
        <v>183.33333333333337</v>
      </c>
      <c r="U356" s="1">
        <v>2150</v>
      </c>
      <c r="V356" s="1">
        <v>14490</v>
      </c>
      <c r="W356" s="1">
        <v>5721.5483333333295</v>
      </c>
      <c r="X356" s="1">
        <v>3571.5483333333295</v>
      </c>
      <c r="AB356" s="2" t="str">
        <f t="shared" si="5"/>
        <v>PASS</v>
      </c>
      <c r="AV356" s="1"/>
      <c r="AW356" s="1"/>
      <c r="AX356" s="1"/>
    </row>
    <row r="357" spans="1:50">
      <c r="A357" s="1" t="s">
        <v>380</v>
      </c>
      <c r="B357" s="1" t="s">
        <v>24</v>
      </c>
      <c r="C357" s="2">
        <v>46258.444288553241</v>
      </c>
      <c r="D357" s="2">
        <v>45267.008230196756</v>
      </c>
      <c r="E357" s="2">
        <v>46258.385568067133</v>
      </c>
      <c r="F357" s="1" t="s">
        <v>606</v>
      </c>
      <c r="G357" s="1" t="s">
        <v>25</v>
      </c>
      <c r="H357" s="3">
        <v>45266</v>
      </c>
      <c r="I357" s="1">
        <v>5050.8380000000006</v>
      </c>
      <c r="J357" s="1">
        <v>5190</v>
      </c>
      <c r="K357" s="1">
        <v>139.16199999999935</v>
      </c>
      <c r="L357" s="1">
        <v>1610.8</v>
      </c>
      <c r="M357" s="1">
        <v>2100</v>
      </c>
      <c r="N357" s="1">
        <v>489.2000000000001</v>
      </c>
      <c r="O357" s="1">
        <v>1090.0200000000002</v>
      </c>
      <c r="P357" s="1">
        <v>1210</v>
      </c>
      <c r="Q357" s="1">
        <v>119.97999999999979</v>
      </c>
      <c r="R357" s="1">
        <v>531.66666666666663</v>
      </c>
      <c r="S357" s="1">
        <v>670</v>
      </c>
      <c r="T357" s="1">
        <v>138.33333333333337</v>
      </c>
      <c r="U357" s="1">
        <v>2150</v>
      </c>
      <c r="V357" s="1">
        <v>9170</v>
      </c>
      <c r="W357" s="1">
        <v>886.67533333333245</v>
      </c>
      <c r="X357" s="1">
        <v>-1263.3246666666671</v>
      </c>
      <c r="AB357" s="2" t="str">
        <f t="shared" si="5"/>
        <v>PASS</v>
      </c>
      <c r="AV357" s="1"/>
      <c r="AW357" s="1"/>
      <c r="AX357" s="1"/>
    </row>
    <row r="358" spans="1:50">
      <c r="A358" s="1" t="s">
        <v>381</v>
      </c>
      <c r="B358" s="1" t="s">
        <v>24</v>
      </c>
      <c r="C358" s="2">
        <v>46258.444289918982</v>
      </c>
      <c r="D358" s="2">
        <v>45267.993079386571</v>
      </c>
      <c r="E358" s="2">
        <v>46258.385568148151</v>
      </c>
      <c r="F358" s="1" t="s">
        <v>606</v>
      </c>
      <c r="G358" s="1" t="s">
        <v>25</v>
      </c>
      <c r="H358" s="3">
        <v>45267</v>
      </c>
      <c r="I358" s="1">
        <v>5713.7349999999979</v>
      </c>
      <c r="J358" s="1">
        <v>3650</v>
      </c>
      <c r="K358" s="1">
        <v>-2063.7349999999979</v>
      </c>
      <c r="L358" s="1">
        <v>2826.5000000000005</v>
      </c>
      <c r="M358" s="1">
        <v>5350</v>
      </c>
      <c r="N358" s="1">
        <v>2523.4999999999995</v>
      </c>
      <c r="O358" s="1">
        <v>643.38000000000011</v>
      </c>
      <c r="P358" s="1">
        <v>1530</v>
      </c>
      <c r="Q358" s="1">
        <v>886.61999999999989</v>
      </c>
      <c r="R358" s="1">
        <v>783.33333333333348</v>
      </c>
      <c r="S358" s="1">
        <v>990</v>
      </c>
      <c r="T358" s="1">
        <v>206.66666666666663</v>
      </c>
      <c r="U358" s="1">
        <v>2150</v>
      </c>
      <c r="V358" s="1">
        <v>11520</v>
      </c>
      <c r="W358" s="1">
        <v>1553.0516666666681</v>
      </c>
      <c r="X358" s="1">
        <v>-596.9483333333319</v>
      </c>
      <c r="AB358" s="2" t="str">
        <f t="shared" si="5"/>
        <v>PASS</v>
      </c>
      <c r="AV358" s="1"/>
      <c r="AW358" s="1"/>
      <c r="AX358" s="1"/>
    </row>
    <row r="359" spans="1:50">
      <c r="A359" s="1" t="s">
        <v>382</v>
      </c>
      <c r="B359" s="1" t="s">
        <v>24</v>
      </c>
      <c r="C359" s="2">
        <v>46258.444291180553</v>
      </c>
      <c r="D359" s="2">
        <v>45268.999592708336</v>
      </c>
      <c r="E359" s="2">
        <v>46258.385568252314</v>
      </c>
      <c r="F359" s="1" t="s">
        <v>606</v>
      </c>
      <c r="G359" s="1" t="s">
        <v>25</v>
      </c>
      <c r="H359" s="3">
        <v>45268</v>
      </c>
      <c r="I359" s="1">
        <v>7436.2700000000013</v>
      </c>
      <c r="J359" s="1">
        <v>6020</v>
      </c>
      <c r="K359" s="1">
        <v>-1416.2700000000011</v>
      </c>
      <c r="L359" s="1">
        <v>939.8</v>
      </c>
      <c r="M359" s="1">
        <v>1950</v>
      </c>
      <c r="N359" s="1">
        <v>1010.2</v>
      </c>
      <c r="O359" s="1">
        <v>446.95000000000005</v>
      </c>
      <c r="P359" s="1">
        <v>1200</v>
      </c>
      <c r="Q359" s="1">
        <v>753.05</v>
      </c>
      <c r="R359" s="1">
        <v>423.33333333333326</v>
      </c>
      <c r="S359" s="1">
        <v>540</v>
      </c>
      <c r="T359" s="1">
        <v>116.66666666666669</v>
      </c>
      <c r="U359" s="1">
        <v>2150</v>
      </c>
      <c r="V359" s="1">
        <v>9710</v>
      </c>
      <c r="W359" s="1">
        <v>463.64666666666523</v>
      </c>
      <c r="X359" s="1">
        <v>-1686.3533333333348</v>
      </c>
      <c r="AB359" s="2" t="str">
        <f t="shared" si="5"/>
        <v>PASS</v>
      </c>
      <c r="AV359" s="1"/>
      <c r="AW359" s="1"/>
      <c r="AX359" s="1"/>
    </row>
    <row r="360" spans="1:50">
      <c r="A360" s="1" t="s">
        <v>383</v>
      </c>
      <c r="B360" s="1" t="s">
        <v>24</v>
      </c>
      <c r="C360" s="2">
        <v>46258.444292523149</v>
      </c>
      <c r="D360" s="2">
        <v>45270.006418831021</v>
      </c>
      <c r="E360" s="2">
        <v>46258.385568761572</v>
      </c>
      <c r="F360" s="1" t="s">
        <v>606</v>
      </c>
      <c r="G360" s="1" t="s">
        <v>25</v>
      </c>
      <c r="H360" s="3">
        <v>45269</v>
      </c>
      <c r="I360" s="1">
        <v>4216.4699999999993</v>
      </c>
      <c r="J360" s="1">
        <v>5140</v>
      </c>
      <c r="K360" s="1">
        <v>923.53000000000065</v>
      </c>
      <c r="L360" s="1">
        <v>3137.1499999999996</v>
      </c>
      <c r="M360" s="1">
        <v>6450</v>
      </c>
      <c r="N360" s="1">
        <v>3312.8500000000004</v>
      </c>
      <c r="O360" s="1">
        <v>334.34</v>
      </c>
      <c r="P360" s="1">
        <v>1280</v>
      </c>
      <c r="Q360" s="1">
        <v>945.66000000000008</v>
      </c>
      <c r="R360" s="1">
        <v>1046.6666666666663</v>
      </c>
      <c r="S360" s="1">
        <v>1320</v>
      </c>
      <c r="T360" s="1">
        <v>273.33333333333348</v>
      </c>
      <c r="U360" s="1">
        <v>2150</v>
      </c>
      <c r="V360" s="1">
        <v>14190</v>
      </c>
      <c r="W360" s="1">
        <v>5455.3733333333348</v>
      </c>
      <c r="X360" s="1">
        <v>3305.3733333333348</v>
      </c>
      <c r="AB360" s="2" t="str">
        <f t="shared" si="5"/>
        <v>PASS</v>
      </c>
      <c r="AV360" s="1"/>
      <c r="AW360" s="1"/>
      <c r="AX360" s="1"/>
    </row>
    <row r="361" spans="1:50">
      <c r="A361" s="1" t="s">
        <v>384</v>
      </c>
      <c r="B361" s="1" t="s">
        <v>24</v>
      </c>
      <c r="C361" s="2">
        <v>46258.444294039349</v>
      </c>
      <c r="D361" s="2">
        <v>45271.004321064815</v>
      </c>
      <c r="E361" s="2">
        <v>46258.38556884259</v>
      </c>
      <c r="F361" s="1" t="s">
        <v>606</v>
      </c>
      <c r="G361" s="1" t="s">
        <v>25</v>
      </c>
      <c r="H361" s="3">
        <v>45270</v>
      </c>
      <c r="I361" s="1">
        <v>6326.7399999999989</v>
      </c>
      <c r="J361" s="1">
        <v>5530</v>
      </c>
      <c r="K361" s="1">
        <v>-796.73999999999887</v>
      </c>
      <c r="L361" s="1">
        <v>3680.3</v>
      </c>
      <c r="M361" s="1">
        <v>6450</v>
      </c>
      <c r="N361" s="1">
        <v>2769.7000000000003</v>
      </c>
      <c r="O361" s="1">
        <v>966.95</v>
      </c>
      <c r="P361" s="1">
        <v>1510</v>
      </c>
      <c r="Q361" s="1">
        <v>543.04999999999995</v>
      </c>
      <c r="R361" s="1">
        <v>1263.3333333333337</v>
      </c>
      <c r="S361" s="1">
        <v>1580</v>
      </c>
      <c r="T361" s="1">
        <v>316.66666666666652</v>
      </c>
      <c r="U361" s="1">
        <v>2150</v>
      </c>
      <c r="V361" s="1">
        <v>15070</v>
      </c>
      <c r="W361" s="1">
        <v>2832.6766666666681</v>
      </c>
      <c r="X361" s="1">
        <v>682.6766666666681</v>
      </c>
      <c r="AB361" s="2" t="str">
        <f t="shared" si="5"/>
        <v>PASS</v>
      </c>
      <c r="AV361" s="1"/>
      <c r="AW361" s="1"/>
      <c r="AX361" s="1"/>
    </row>
    <row r="362" spans="1:50">
      <c r="A362" s="1" t="s">
        <v>385</v>
      </c>
      <c r="B362" s="1" t="s">
        <v>24</v>
      </c>
      <c r="C362" s="2">
        <v>46258.444295590278</v>
      </c>
      <c r="D362" s="2">
        <v>45272.006625856484</v>
      </c>
      <c r="E362" s="2">
        <v>46258.385568935184</v>
      </c>
      <c r="F362" s="1" t="s">
        <v>606</v>
      </c>
      <c r="G362" s="1" t="s">
        <v>25</v>
      </c>
      <c r="H362" s="3">
        <v>45271</v>
      </c>
      <c r="I362" s="1">
        <v>5554.71</v>
      </c>
      <c r="J362" s="1">
        <v>7920</v>
      </c>
      <c r="K362" s="1">
        <v>2365.29</v>
      </c>
      <c r="L362" s="1">
        <v>2246.6999999999998</v>
      </c>
      <c r="M362" s="1">
        <v>3600</v>
      </c>
      <c r="N362" s="1">
        <v>1353.3000000000002</v>
      </c>
      <c r="O362" s="1">
        <v>869.67</v>
      </c>
      <c r="P362" s="1">
        <v>2010</v>
      </c>
      <c r="Q362" s="1">
        <v>1140.33</v>
      </c>
      <c r="R362" s="1">
        <v>1263.3333333333333</v>
      </c>
      <c r="S362" s="1">
        <v>1590</v>
      </c>
      <c r="T362" s="1">
        <v>326.66666666666674</v>
      </c>
      <c r="U362" s="1">
        <v>2150</v>
      </c>
      <c r="V362" s="1">
        <v>15120</v>
      </c>
      <c r="W362" s="1">
        <v>5185.586666666667</v>
      </c>
      <c r="X362" s="1">
        <v>3035.586666666667</v>
      </c>
      <c r="AB362" s="2" t="str">
        <f t="shared" si="5"/>
        <v>PASS</v>
      </c>
      <c r="AV362" s="1"/>
      <c r="AW362" s="1"/>
      <c r="AX362" s="1"/>
    </row>
    <row r="363" spans="1:50">
      <c r="A363" s="1" t="s">
        <v>386</v>
      </c>
      <c r="B363" s="1" t="s">
        <v>24</v>
      </c>
      <c r="C363" s="2">
        <v>46258.444296805559</v>
      </c>
      <c r="D363" s="2">
        <v>45273.038308344905</v>
      </c>
      <c r="E363" s="2">
        <v>46258.385569027778</v>
      </c>
      <c r="F363" s="1" t="s">
        <v>606</v>
      </c>
      <c r="G363" s="1" t="s">
        <v>25</v>
      </c>
      <c r="H363" s="3">
        <v>45272</v>
      </c>
      <c r="I363" s="1">
        <v>5680.7949999999992</v>
      </c>
      <c r="J363" s="1">
        <v>4140</v>
      </c>
      <c r="K363" s="1">
        <v>-1540.7949999999992</v>
      </c>
      <c r="L363" s="1">
        <v>1371.9499999999998</v>
      </c>
      <c r="M363" s="1">
        <v>2150</v>
      </c>
      <c r="N363" s="1">
        <v>778.05000000000018</v>
      </c>
      <c r="O363" s="1">
        <v>1429.9099999999999</v>
      </c>
      <c r="P363" s="1">
        <v>1360</v>
      </c>
      <c r="Q363" s="1">
        <v>-69.909999999999854</v>
      </c>
      <c r="R363" s="1">
        <v>735</v>
      </c>
      <c r="S363" s="1">
        <v>930</v>
      </c>
      <c r="T363" s="1">
        <v>195</v>
      </c>
      <c r="U363" s="1">
        <v>2150</v>
      </c>
      <c r="V363" s="1">
        <v>8580</v>
      </c>
      <c r="W363" s="1">
        <v>-637.65499999999884</v>
      </c>
      <c r="X363" s="1">
        <v>-2787.6549999999988</v>
      </c>
      <c r="AB363" s="2" t="str">
        <f t="shared" si="5"/>
        <v>PASS</v>
      </c>
      <c r="AV363" s="1"/>
      <c r="AW363" s="1"/>
      <c r="AX363" s="1"/>
    </row>
    <row r="364" spans="1:50">
      <c r="A364" s="1" t="s">
        <v>387</v>
      </c>
      <c r="B364" s="1" t="s">
        <v>24</v>
      </c>
      <c r="C364" s="2">
        <v>46258.444298078706</v>
      </c>
      <c r="D364" s="2">
        <v>45275.015460046299</v>
      </c>
      <c r="E364" s="2">
        <v>46258.385569108796</v>
      </c>
      <c r="F364" s="1" t="s">
        <v>606</v>
      </c>
      <c r="G364" s="1" t="s">
        <v>25</v>
      </c>
      <c r="H364" s="3">
        <v>45273</v>
      </c>
      <c r="I364" s="1">
        <v>4880.545000000001</v>
      </c>
      <c r="J364" s="1">
        <v>5540</v>
      </c>
      <c r="K364" s="1">
        <v>659.45499999999902</v>
      </c>
      <c r="L364" s="1">
        <v>2799.8999999999996</v>
      </c>
      <c r="M364" s="1">
        <v>4950</v>
      </c>
      <c r="N364" s="1">
        <v>2150.1000000000004</v>
      </c>
      <c r="O364" s="1">
        <v>777.27999999999986</v>
      </c>
      <c r="P364" s="1">
        <v>2410</v>
      </c>
      <c r="Q364" s="1">
        <v>1632.7200000000003</v>
      </c>
      <c r="R364" s="1">
        <v>826.66666666666652</v>
      </c>
      <c r="S364" s="1">
        <v>1050</v>
      </c>
      <c r="T364" s="1">
        <v>223.33333333333337</v>
      </c>
      <c r="U364" s="1">
        <v>2150</v>
      </c>
      <c r="V364" s="1">
        <v>13950</v>
      </c>
      <c r="W364" s="1">
        <v>4665.6083333333327</v>
      </c>
      <c r="X364" s="1">
        <v>2515.6083333333327</v>
      </c>
      <c r="AB364" s="2" t="str">
        <f t="shared" si="5"/>
        <v>PASS</v>
      </c>
      <c r="AV364" s="1"/>
      <c r="AW364" s="1"/>
      <c r="AX364" s="1"/>
    </row>
    <row r="365" spans="1:50">
      <c r="A365" s="1" t="s">
        <v>388</v>
      </c>
      <c r="B365" s="1" t="s">
        <v>24</v>
      </c>
      <c r="C365" s="2">
        <v>46258.444299479168</v>
      </c>
      <c r="D365" s="2">
        <v>45275.022559953701</v>
      </c>
      <c r="E365" s="2">
        <v>46258.385569178237</v>
      </c>
      <c r="F365" s="1" t="s">
        <v>606</v>
      </c>
      <c r="G365" s="1" t="s">
        <v>25</v>
      </c>
      <c r="H365" s="3">
        <v>45274</v>
      </c>
      <c r="I365" s="1">
        <v>6066.329999999999</v>
      </c>
      <c r="J365" s="1">
        <v>5160</v>
      </c>
      <c r="K365" s="1">
        <v>-906.32999999999902</v>
      </c>
      <c r="L365" s="1">
        <v>1900.2</v>
      </c>
      <c r="M365" s="1">
        <v>4550</v>
      </c>
      <c r="N365" s="1">
        <v>2649.8</v>
      </c>
      <c r="O365" s="1">
        <v>123.15000000000008</v>
      </c>
      <c r="P365" s="1">
        <v>730</v>
      </c>
      <c r="Q365" s="1">
        <v>606.84999999999991</v>
      </c>
      <c r="R365" s="1">
        <v>1443.3333333333337</v>
      </c>
      <c r="S365" s="1">
        <v>1810</v>
      </c>
      <c r="T365" s="1">
        <v>366.66666666666657</v>
      </c>
      <c r="U365" s="1">
        <v>2150</v>
      </c>
      <c r="V365" s="1">
        <v>12250</v>
      </c>
      <c r="W365" s="1">
        <v>2716.9866666666676</v>
      </c>
      <c r="X365" s="1">
        <v>566.98666666666759</v>
      </c>
      <c r="AB365" s="2" t="str">
        <f t="shared" si="5"/>
        <v>PASS</v>
      </c>
      <c r="AV365" s="1"/>
      <c r="AW365" s="1"/>
      <c r="AX365" s="1"/>
    </row>
    <row r="366" spans="1:50">
      <c r="A366" s="1" t="s">
        <v>389</v>
      </c>
      <c r="B366" s="1" t="s">
        <v>24</v>
      </c>
      <c r="C366" s="2">
        <v>46258.444300648145</v>
      </c>
      <c r="D366" s="2">
        <v>45276.067852245367</v>
      </c>
      <c r="E366" s="2">
        <v>46258.385569421298</v>
      </c>
      <c r="F366" s="1" t="s">
        <v>606</v>
      </c>
      <c r="G366" s="1" t="s">
        <v>25</v>
      </c>
      <c r="H366" s="3">
        <v>45275</v>
      </c>
      <c r="I366" s="1">
        <v>6419.7249999999985</v>
      </c>
      <c r="J366" s="1">
        <v>5060</v>
      </c>
      <c r="K366" s="1">
        <v>-1359.7249999999983</v>
      </c>
      <c r="L366" s="1">
        <v>3776.2000000000016</v>
      </c>
      <c r="M366" s="1">
        <v>7350</v>
      </c>
      <c r="N366" s="1">
        <v>3573.7999999999988</v>
      </c>
      <c r="O366" s="1">
        <v>263.26</v>
      </c>
      <c r="P366" s="1">
        <v>1460</v>
      </c>
      <c r="Q366" s="1">
        <v>1196.74</v>
      </c>
      <c r="R366" s="1">
        <v>1056.6666666666667</v>
      </c>
      <c r="S366" s="1">
        <v>1370</v>
      </c>
      <c r="T366" s="1">
        <v>313.33333333333326</v>
      </c>
      <c r="U366" s="1">
        <v>2150</v>
      </c>
      <c r="V366" s="1">
        <v>15240</v>
      </c>
      <c r="W366" s="1">
        <v>3724.1483333333335</v>
      </c>
      <c r="X366" s="1">
        <v>1574.1483333333335</v>
      </c>
      <c r="AB366" s="2" t="str">
        <f t="shared" si="5"/>
        <v>PASS</v>
      </c>
      <c r="AV366" s="1"/>
      <c r="AW366" s="1"/>
      <c r="AX366" s="1"/>
    </row>
    <row r="367" spans="1:50">
      <c r="A367" s="1" t="s">
        <v>390</v>
      </c>
      <c r="B367" s="1" t="s">
        <v>24</v>
      </c>
      <c r="C367" s="2">
        <v>46258.444302349541</v>
      </c>
      <c r="D367" s="2">
        <v>45277.008119293983</v>
      </c>
      <c r="E367" s="2">
        <v>46258.38556949074</v>
      </c>
      <c r="F367" s="1" t="s">
        <v>606</v>
      </c>
      <c r="G367" s="1" t="s">
        <v>25</v>
      </c>
      <c r="H367" s="3">
        <v>45276</v>
      </c>
      <c r="I367" s="1">
        <v>5287.4450000000024</v>
      </c>
      <c r="J367" s="1">
        <v>2390</v>
      </c>
      <c r="K367" s="1">
        <v>-2897.4450000000024</v>
      </c>
      <c r="L367" s="1">
        <v>2791.95</v>
      </c>
      <c r="M367" s="1">
        <v>5150</v>
      </c>
      <c r="N367" s="1">
        <v>2358.0500000000002</v>
      </c>
      <c r="O367" s="1">
        <v>691.07</v>
      </c>
      <c r="P367" s="1">
        <v>1940</v>
      </c>
      <c r="Q367" s="1">
        <v>1248.9299999999998</v>
      </c>
      <c r="R367" s="1">
        <v>890</v>
      </c>
      <c r="S367" s="1">
        <v>1140</v>
      </c>
      <c r="T367" s="1">
        <v>250</v>
      </c>
      <c r="U367" s="1">
        <v>2150</v>
      </c>
      <c r="V367" s="1">
        <v>10620</v>
      </c>
      <c r="W367" s="1">
        <v>959.53499999999758</v>
      </c>
      <c r="X367" s="1">
        <v>-1190.4650000000024</v>
      </c>
      <c r="AB367" s="2" t="str">
        <f t="shared" si="5"/>
        <v>PASS</v>
      </c>
      <c r="AV367" s="1"/>
      <c r="AW367" s="1"/>
      <c r="AX367" s="1"/>
    </row>
    <row r="368" spans="1:50">
      <c r="A368" s="1" t="s">
        <v>391</v>
      </c>
      <c r="B368" s="1" t="s">
        <v>24</v>
      </c>
      <c r="C368" s="2">
        <v>46258.444303622688</v>
      </c>
      <c r="D368" s="2">
        <v>45278.019238055553</v>
      </c>
      <c r="E368" s="2">
        <v>46258.385569583334</v>
      </c>
      <c r="F368" s="1" t="s">
        <v>606</v>
      </c>
      <c r="G368" s="1" t="s">
        <v>25</v>
      </c>
      <c r="H368" s="3">
        <v>45277</v>
      </c>
      <c r="I368" s="1">
        <v>6114.7199999999984</v>
      </c>
      <c r="J368" s="1">
        <v>4750</v>
      </c>
      <c r="K368" s="1">
        <v>-1364.7199999999984</v>
      </c>
      <c r="L368" s="1">
        <v>1400.4999999999998</v>
      </c>
      <c r="M368" s="1">
        <v>2700</v>
      </c>
      <c r="N368" s="1">
        <v>1299.5000000000002</v>
      </c>
      <c r="O368" s="1">
        <v>951.55</v>
      </c>
      <c r="P368" s="1">
        <v>730</v>
      </c>
      <c r="Q368" s="1">
        <v>-221.54999999999995</v>
      </c>
      <c r="R368" s="1">
        <v>853.33333333333348</v>
      </c>
      <c r="S368" s="1">
        <v>1100</v>
      </c>
      <c r="T368" s="1">
        <v>246.66666666666663</v>
      </c>
      <c r="U368" s="1">
        <v>2150</v>
      </c>
      <c r="V368" s="1">
        <v>9280</v>
      </c>
      <c r="W368" s="1">
        <v>-40.103333333331534</v>
      </c>
      <c r="X368" s="1">
        <v>-2190.1033333333316</v>
      </c>
      <c r="AB368" s="2" t="str">
        <f t="shared" si="5"/>
        <v>PASS</v>
      </c>
      <c r="AV368" s="1"/>
      <c r="AW368" s="1"/>
      <c r="AX368" s="1"/>
    </row>
    <row r="369" spans="1:50">
      <c r="A369" s="1" t="s">
        <v>392</v>
      </c>
      <c r="B369" s="1" t="s">
        <v>24</v>
      </c>
      <c r="C369" s="2">
        <v>46258.444304999997</v>
      </c>
      <c r="D369" s="2">
        <v>45278.997758611113</v>
      </c>
      <c r="E369" s="2">
        <v>46258.385569652775</v>
      </c>
      <c r="F369" s="1" t="s">
        <v>606</v>
      </c>
      <c r="G369" s="1" t="s">
        <v>25</v>
      </c>
      <c r="H369" s="3">
        <v>45278</v>
      </c>
      <c r="I369" s="1">
        <v>4954.510000000002</v>
      </c>
      <c r="J369" s="1">
        <v>4540</v>
      </c>
      <c r="K369" s="1">
        <v>-414.51000000000209</v>
      </c>
      <c r="L369" s="1">
        <v>1137.8499999999999</v>
      </c>
      <c r="M369" s="1">
        <v>1550</v>
      </c>
      <c r="N369" s="1">
        <v>412.14999999999986</v>
      </c>
      <c r="O369" s="1">
        <v>124.50000000000001</v>
      </c>
      <c r="P369" s="1">
        <v>0</v>
      </c>
      <c r="Q369" s="1">
        <v>-124.50000000000001</v>
      </c>
      <c r="R369" s="1">
        <v>1301.6666666666667</v>
      </c>
      <c r="S369" s="1">
        <v>1650</v>
      </c>
      <c r="T369" s="1">
        <v>348.33333333333326</v>
      </c>
      <c r="U369" s="1">
        <v>2150</v>
      </c>
      <c r="V369" s="1">
        <v>7740</v>
      </c>
      <c r="W369" s="1">
        <v>221.47333333333108</v>
      </c>
      <c r="X369" s="1">
        <v>-1928.5266666666687</v>
      </c>
      <c r="AB369" s="2" t="str">
        <f t="shared" si="5"/>
        <v>PASS</v>
      </c>
      <c r="AV369" s="1"/>
      <c r="AW369" s="1"/>
      <c r="AX369" s="1"/>
    </row>
    <row r="370" spans="1:50">
      <c r="A370" s="1" t="s">
        <v>393</v>
      </c>
      <c r="B370" s="1" t="s">
        <v>24</v>
      </c>
      <c r="C370" s="2">
        <v>46258.444306192127</v>
      </c>
      <c r="D370" s="2">
        <v>45279.998795208332</v>
      </c>
      <c r="E370" s="2">
        <v>46258.385569733793</v>
      </c>
      <c r="F370" s="1" t="s">
        <v>606</v>
      </c>
      <c r="G370" s="1" t="s">
        <v>25</v>
      </c>
      <c r="H370" s="3">
        <v>45279</v>
      </c>
      <c r="I370" s="1">
        <v>5477.3049999999976</v>
      </c>
      <c r="J370" s="1">
        <v>4020</v>
      </c>
      <c r="K370" s="1">
        <v>-1457.3049999999976</v>
      </c>
      <c r="L370" s="1">
        <v>2749.0499999999997</v>
      </c>
      <c r="M370" s="1">
        <v>4590</v>
      </c>
      <c r="N370" s="1">
        <v>1840.9500000000005</v>
      </c>
      <c r="O370" s="1">
        <v>89.95</v>
      </c>
      <c r="P370" s="1">
        <v>250</v>
      </c>
      <c r="Q370" s="1">
        <v>160.05000000000001</v>
      </c>
      <c r="R370" s="1">
        <v>375</v>
      </c>
      <c r="S370" s="1">
        <v>480</v>
      </c>
      <c r="T370" s="1">
        <v>105</v>
      </c>
      <c r="U370" s="1">
        <v>2150</v>
      </c>
      <c r="V370" s="1">
        <v>9340</v>
      </c>
      <c r="W370" s="1">
        <v>648.69500000000266</v>
      </c>
      <c r="X370" s="1">
        <v>-1501.3049999999971</v>
      </c>
      <c r="AB370" s="2" t="str">
        <f t="shared" si="5"/>
        <v>PASS</v>
      </c>
      <c r="AV370" s="1"/>
      <c r="AW370" s="1"/>
      <c r="AX370" s="1"/>
    </row>
    <row r="371" spans="1:50">
      <c r="A371" s="1" t="s">
        <v>394</v>
      </c>
      <c r="B371" s="1" t="s">
        <v>24</v>
      </c>
      <c r="C371" s="2">
        <v>46258.444308252314</v>
      </c>
      <c r="D371" s="2">
        <v>45281.97554042824</v>
      </c>
      <c r="E371" s="2">
        <v>46258.385569814818</v>
      </c>
      <c r="F371" s="1" t="s">
        <v>606</v>
      </c>
      <c r="G371" s="1" t="s">
        <v>25</v>
      </c>
      <c r="H371" s="3">
        <v>45280</v>
      </c>
      <c r="I371" s="1">
        <v>6686.8750000000009</v>
      </c>
      <c r="J371" s="1">
        <v>6530</v>
      </c>
      <c r="K371" s="1">
        <v>-156.87500000000091</v>
      </c>
      <c r="L371" s="1">
        <v>3129.8</v>
      </c>
      <c r="M371" s="1">
        <v>5840</v>
      </c>
      <c r="N371" s="1">
        <v>2710.2</v>
      </c>
      <c r="O371" s="1">
        <v>87.15</v>
      </c>
      <c r="P371" s="1">
        <v>0</v>
      </c>
      <c r="Q371" s="1">
        <v>-87.15</v>
      </c>
      <c r="R371" s="1">
        <v>941.66666666666674</v>
      </c>
      <c r="S371" s="1">
        <v>1210</v>
      </c>
      <c r="T371" s="1">
        <v>268.33333333333326</v>
      </c>
      <c r="U371" s="1">
        <v>2150</v>
      </c>
      <c r="V371" s="1">
        <v>13580</v>
      </c>
      <c r="W371" s="1">
        <v>2734.5083333333323</v>
      </c>
      <c r="X371" s="1">
        <v>584.5083333333323</v>
      </c>
      <c r="AB371" s="2" t="str">
        <f t="shared" si="5"/>
        <v>PASS</v>
      </c>
      <c r="AV371" s="1"/>
      <c r="AW371" s="1"/>
      <c r="AX371" s="1"/>
    </row>
    <row r="372" spans="1:50">
      <c r="A372" s="1" t="s">
        <v>395</v>
      </c>
      <c r="B372" s="1" t="s">
        <v>24</v>
      </c>
      <c r="C372" s="2">
        <v>46258.444309861108</v>
      </c>
      <c r="D372" s="2">
        <v>45281.994903078703</v>
      </c>
      <c r="E372" s="2">
        <v>46258.385569965278</v>
      </c>
      <c r="F372" s="1" t="s">
        <v>606</v>
      </c>
      <c r="G372" s="1" t="s">
        <v>25</v>
      </c>
      <c r="H372" s="3">
        <v>45281</v>
      </c>
      <c r="I372" s="1">
        <v>5881.7000000000007</v>
      </c>
      <c r="J372" s="1">
        <v>2910</v>
      </c>
      <c r="K372" s="1">
        <v>-2971.7000000000007</v>
      </c>
      <c r="L372" s="1">
        <v>2074.2999999999993</v>
      </c>
      <c r="M372" s="1">
        <v>2790</v>
      </c>
      <c r="N372" s="1">
        <v>715.70000000000073</v>
      </c>
      <c r="O372" s="1">
        <v>519.64999999999986</v>
      </c>
      <c r="P372" s="1">
        <v>250</v>
      </c>
      <c r="Q372" s="1">
        <v>-269.64999999999986</v>
      </c>
      <c r="R372" s="1">
        <v>855</v>
      </c>
      <c r="S372" s="1">
        <v>1080</v>
      </c>
      <c r="T372" s="1">
        <v>225</v>
      </c>
      <c r="U372" s="1">
        <v>2150</v>
      </c>
      <c r="V372" s="1">
        <v>7030</v>
      </c>
      <c r="W372" s="1">
        <v>-2300.6499999999996</v>
      </c>
      <c r="X372" s="1">
        <v>-4450.6499999999996</v>
      </c>
      <c r="AB372" s="2" t="str">
        <f t="shared" si="5"/>
        <v>PASS</v>
      </c>
      <c r="AV372" s="1"/>
      <c r="AW372" s="1"/>
      <c r="AX372" s="1"/>
    </row>
    <row r="373" spans="1:50">
      <c r="A373" s="1" t="s">
        <v>27</v>
      </c>
      <c r="B373" s="1" t="s">
        <v>24</v>
      </c>
      <c r="C373" s="2">
        <v>46258.444311203704</v>
      </c>
      <c r="D373" s="2">
        <v>45282.987341342596</v>
      </c>
      <c r="E373" s="2">
        <v>46258.385570046295</v>
      </c>
      <c r="F373" s="1" t="s">
        <v>606</v>
      </c>
      <c r="G373" s="1" t="s">
        <v>25</v>
      </c>
      <c r="H373" s="3">
        <v>45282</v>
      </c>
      <c r="I373" s="1">
        <v>5368.0749999999962</v>
      </c>
      <c r="J373" s="1">
        <v>8360</v>
      </c>
      <c r="K373" s="1">
        <v>2991.9250000000038</v>
      </c>
      <c r="L373" s="1">
        <v>908.6500000000002</v>
      </c>
      <c r="M373" s="1">
        <v>1470</v>
      </c>
      <c r="N373" s="1">
        <v>561.3499999999998</v>
      </c>
      <c r="O373" s="1">
        <v>419.91000000000008</v>
      </c>
      <c r="P373" s="1">
        <v>980</v>
      </c>
      <c r="Q373" s="1">
        <v>560.08999999999992</v>
      </c>
      <c r="R373" s="1">
        <v>378.33333333333326</v>
      </c>
      <c r="S373" s="1">
        <v>500</v>
      </c>
      <c r="T373" s="1">
        <v>121.66666666666669</v>
      </c>
      <c r="U373" s="1">
        <v>2150</v>
      </c>
      <c r="V373" s="1">
        <v>11310</v>
      </c>
      <c r="W373" s="1">
        <v>4235.0316666666704</v>
      </c>
      <c r="X373" s="1">
        <v>2085.0316666666704</v>
      </c>
      <c r="AB373" s="2" t="str">
        <f t="shared" si="5"/>
        <v>PASS</v>
      </c>
      <c r="AV373" s="1"/>
      <c r="AW373" s="1"/>
      <c r="AX373" s="1"/>
    </row>
    <row r="374" spans="1:50">
      <c r="A374" s="1" t="s">
        <v>396</v>
      </c>
      <c r="B374" s="1" t="s">
        <v>24</v>
      </c>
      <c r="C374" s="2">
        <v>46258.444312500003</v>
      </c>
      <c r="D374" s="2">
        <v>45284.007435219908</v>
      </c>
      <c r="E374" s="2">
        <v>46258.385570138889</v>
      </c>
      <c r="F374" s="1" t="s">
        <v>606</v>
      </c>
      <c r="G374" s="1" t="s">
        <v>25</v>
      </c>
      <c r="H374" s="3">
        <v>45283</v>
      </c>
      <c r="I374" s="1">
        <v>6608.3940000000048</v>
      </c>
      <c r="J374" s="1">
        <v>5250</v>
      </c>
      <c r="K374" s="1">
        <v>-1358.3940000000048</v>
      </c>
      <c r="L374" s="1">
        <v>1246.1499999999996</v>
      </c>
      <c r="M374" s="1">
        <v>2850</v>
      </c>
      <c r="N374" s="1">
        <v>1603.8500000000004</v>
      </c>
      <c r="O374" s="1">
        <v>0</v>
      </c>
      <c r="P374" s="1">
        <v>0</v>
      </c>
      <c r="Q374" s="1">
        <v>0</v>
      </c>
      <c r="R374" s="1">
        <v>715</v>
      </c>
      <c r="S374" s="1">
        <v>910</v>
      </c>
      <c r="T374" s="1">
        <v>195</v>
      </c>
      <c r="U374" s="1">
        <v>2150</v>
      </c>
      <c r="V374" s="1">
        <v>9010</v>
      </c>
      <c r="W374" s="1">
        <v>440.45599999999558</v>
      </c>
      <c r="X374" s="1">
        <v>-1709.5440000000044</v>
      </c>
      <c r="AB374" s="2" t="str">
        <f t="shared" si="5"/>
        <v>PASS</v>
      </c>
      <c r="AV374" s="1"/>
      <c r="AW374" s="1"/>
      <c r="AX374" s="1"/>
    </row>
    <row r="375" spans="1:50">
      <c r="A375" s="1" t="s">
        <v>397</v>
      </c>
      <c r="B375" s="1" t="s">
        <v>24</v>
      </c>
      <c r="C375" s="2">
        <v>46258.444313969907</v>
      </c>
      <c r="D375" s="2">
        <v>45285.003962013892</v>
      </c>
      <c r="E375" s="2">
        <v>46258.385570208331</v>
      </c>
      <c r="F375" s="1" t="s">
        <v>606</v>
      </c>
      <c r="G375" s="1" t="s">
        <v>25</v>
      </c>
      <c r="H375" s="3">
        <v>45284</v>
      </c>
      <c r="I375" s="1">
        <v>5501.6559999999963</v>
      </c>
      <c r="J375" s="1">
        <v>3510</v>
      </c>
      <c r="K375" s="1">
        <v>-1991.6559999999963</v>
      </c>
      <c r="L375" s="1">
        <v>4225.55</v>
      </c>
      <c r="M375" s="1">
        <v>8400</v>
      </c>
      <c r="N375" s="1">
        <v>4174.45</v>
      </c>
      <c r="O375" s="1">
        <v>1455.24</v>
      </c>
      <c r="P375" s="1">
        <v>3050</v>
      </c>
      <c r="Q375" s="1">
        <v>1594.76</v>
      </c>
      <c r="R375" s="1">
        <v>1856.6666666666663</v>
      </c>
      <c r="S375" s="1">
        <v>2340</v>
      </c>
      <c r="T375" s="1">
        <v>483.33333333333343</v>
      </c>
      <c r="U375" s="1">
        <v>2150</v>
      </c>
      <c r="V375" s="1">
        <v>17300</v>
      </c>
      <c r="W375" s="1">
        <v>4260.8873333333377</v>
      </c>
      <c r="X375" s="1">
        <v>2110.8873333333377</v>
      </c>
      <c r="AB375" s="2" t="str">
        <f t="shared" si="5"/>
        <v>PASS</v>
      </c>
      <c r="AV375" s="1"/>
      <c r="AW375" s="1"/>
      <c r="AX375" s="1"/>
    </row>
    <row r="376" spans="1:50">
      <c r="A376" s="1" t="s">
        <v>398</v>
      </c>
      <c r="B376" s="1" t="s">
        <v>24</v>
      </c>
      <c r="C376" s="2">
        <v>46258.444314942128</v>
      </c>
      <c r="D376" s="2">
        <v>45285.98912554398</v>
      </c>
      <c r="E376" s="2">
        <v>46258.385570289349</v>
      </c>
      <c r="F376" s="1" t="s">
        <v>606</v>
      </c>
      <c r="G376" s="1" t="s">
        <v>25</v>
      </c>
      <c r="H376" s="3">
        <v>45285</v>
      </c>
      <c r="I376" s="1">
        <v>5369.7600000000011</v>
      </c>
      <c r="J376" s="1">
        <v>4340</v>
      </c>
      <c r="K376" s="1">
        <v>-1029.7600000000011</v>
      </c>
      <c r="L376" s="1">
        <v>1652.9</v>
      </c>
      <c r="M376" s="1">
        <v>3050</v>
      </c>
      <c r="N376" s="1">
        <v>1397.1</v>
      </c>
      <c r="O376" s="1">
        <v>108.43</v>
      </c>
      <c r="P376" s="1">
        <v>300</v>
      </c>
      <c r="Q376" s="1">
        <v>191.57</v>
      </c>
      <c r="R376" s="1">
        <v>633.33333333333337</v>
      </c>
      <c r="S376" s="1">
        <v>830</v>
      </c>
      <c r="T376" s="1">
        <v>196.66666666666663</v>
      </c>
      <c r="U376" s="1">
        <v>2150</v>
      </c>
      <c r="V376" s="1">
        <v>8520</v>
      </c>
      <c r="W376" s="1">
        <v>755.57666666666557</v>
      </c>
      <c r="X376" s="1">
        <v>-1394.4233333333343</v>
      </c>
      <c r="AB376" s="2" t="str">
        <f t="shared" si="5"/>
        <v>PASS</v>
      </c>
      <c r="AV376" s="1"/>
      <c r="AW376" s="1"/>
      <c r="AX376" s="1"/>
    </row>
    <row r="377" spans="1:50">
      <c r="A377" s="1" t="s">
        <v>399</v>
      </c>
      <c r="B377" s="1" t="s">
        <v>24</v>
      </c>
      <c r="C377" s="2">
        <v>46258.444316226851</v>
      </c>
      <c r="D377" s="2">
        <v>45288.114740497687</v>
      </c>
      <c r="E377" s="2">
        <v>46258.385570358798</v>
      </c>
      <c r="F377" s="1" t="s">
        <v>606</v>
      </c>
      <c r="G377" s="1" t="s">
        <v>25</v>
      </c>
      <c r="H377" s="3">
        <v>45286</v>
      </c>
      <c r="I377" s="1">
        <v>5218.0300000000007</v>
      </c>
      <c r="J377" s="1">
        <v>3570</v>
      </c>
      <c r="K377" s="1">
        <v>-1648.0300000000009</v>
      </c>
      <c r="L377" s="1">
        <v>1561.8</v>
      </c>
      <c r="M377" s="1">
        <v>2620</v>
      </c>
      <c r="N377" s="1">
        <v>1058.2</v>
      </c>
      <c r="O377" s="1">
        <v>208.54999999999995</v>
      </c>
      <c r="P377" s="1">
        <v>850</v>
      </c>
      <c r="Q377" s="1">
        <v>641.45000000000005</v>
      </c>
      <c r="R377" s="1">
        <v>755</v>
      </c>
      <c r="S377" s="1">
        <v>960</v>
      </c>
      <c r="T377" s="1">
        <v>205</v>
      </c>
      <c r="U377" s="1">
        <v>2150</v>
      </c>
      <c r="V377" s="1">
        <v>8000</v>
      </c>
      <c r="W377" s="1">
        <v>256.61999999999944</v>
      </c>
      <c r="X377" s="1">
        <v>-1893.3800000000008</v>
      </c>
      <c r="AB377" s="2" t="str">
        <f t="shared" si="5"/>
        <v>PASS</v>
      </c>
      <c r="AV377" s="1"/>
      <c r="AW377" s="1"/>
      <c r="AX377" s="1"/>
    </row>
    <row r="378" spans="1:50">
      <c r="A378" s="1" t="s">
        <v>400</v>
      </c>
      <c r="B378" s="1" t="s">
        <v>24</v>
      </c>
      <c r="C378" s="2">
        <v>46258.444317476853</v>
      </c>
      <c r="D378" s="2">
        <v>45288.117759664354</v>
      </c>
      <c r="E378" s="2">
        <v>46258.385570578706</v>
      </c>
      <c r="F378" s="1" t="s">
        <v>606</v>
      </c>
      <c r="G378" s="1" t="s">
        <v>25</v>
      </c>
      <c r="H378" s="3">
        <v>45287</v>
      </c>
      <c r="I378" s="1">
        <v>4454.614999999998</v>
      </c>
      <c r="J378" s="1">
        <v>4480</v>
      </c>
      <c r="K378" s="1">
        <v>25.385000000002037</v>
      </c>
      <c r="L378" s="1">
        <v>-134.60000000000008</v>
      </c>
      <c r="M378" s="1">
        <v>1770</v>
      </c>
      <c r="N378" s="1">
        <v>1904.6</v>
      </c>
      <c r="O378" s="1">
        <v>23</v>
      </c>
      <c r="P378" s="1">
        <v>400</v>
      </c>
      <c r="Q378" s="1">
        <v>377</v>
      </c>
      <c r="R378" s="1">
        <v>1356.6666666666667</v>
      </c>
      <c r="S378" s="1">
        <v>1700</v>
      </c>
      <c r="T378" s="1">
        <v>343.33333333333326</v>
      </c>
      <c r="U378" s="1">
        <v>2150</v>
      </c>
      <c r="V378" s="1">
        <v>8350</v>
      </c>
      <c r="W378" s="1">
        <v>2650.318333333335</v>
      </c>
      <c r="X378" s="1">
        <v>500.31833333333543</v>
      </c>
      <c r="AB378" s="2" t="str">
        <f t="shared" si="5"/>
        <v>PASS</v>
      </c>
      <c r="AV378" s="1"/>
      <c r="AW378" s="1"/>
      <c r="AX378" s="1"/>
    </row>
    <row r="379" spans="1:50">
      <c r="A379" s="1" t="s">
        <v>401</v>
      </c>
      <c r="B379" s="1" t="s">
        <v>24</v>
      </c>
      <c r="C379" s="2">
        <v>46258.444318668982</v>
      </c>
      <c r="D379" s="2">
        <v>45288.998225289353</v>
      </c>
      <c r="E379" s="2">
        <v>46258.385570694445</v>
      </c>
      <c r="F379" s="1" t="s">
        <v>606</v>
      </c>
      <c r="G379" s="1" t="s">
        <v>25</v>
      </c>
      <c r="H379" s="3">
        <v>45288</v>
      </c>
      <c r="I379" s="1">
        <v>4059.7200000000016</v>
      </c>
      <c r="J379" s="1">
        <v>2660</v>
      </c>
      <c r="K379" s="1">
        <v>-1399.7200000000016</v>
      </c>
      <c r="L379" s="1">
        <v>2232.6999999999998</v>
      </c>
      <c r="M379" s="1">
        <v>3970</v>
      </c>
      <c r="N379" s="1">
        <v>1737.3000000000002</v>
      </c>
      <c r="O379" s="1">
        <v>23</v>
      </c>
      <c r="P379" s="1">
        <v>400</v>
      </c>
      <c r="Q379" s="1">
        <v>377</v>
      </c>
      <c r="R379" s="1">
        <v>831.66666666666674</v>
      </c>
      <c r="S379" s="1">
        <v>1070</v>
      </c>
      <c r="T379" s="1">
        <v>238.33333333333329</v>
      </c>
      <c r="U379" s="1">
        <v>2150</v>
      </c>
      <c r="V379" s="1">
        <v>8100</v>
      </c>
      <c r="W379" s="1">
        <v>952.91333333333182</v>
      </c>
      <c r="X379" s="1">
        <v>-1197.0866666666682</v>
      </c>
      <c r="AB379" s="2" t="str">
        <f t="shared" si="5"/>
        <v>PASS</v>
      </c>
      <c r="AV379" s="1"/>
      <c r="AW379" s="1"/>
      <c r="AX379" s="1"/>
    </row>
    <row r="380" spans="1:50">
      <c r="A380" s="1" t="s">
        <v>402</v>
      </c>
      <c r="B380" s="1" t="s">
        <v>24</v>
      </c>
      <c r="C380" s="2">
        <v>46258.444320000002</v>
      </c>
      <c r="D380" s="2">
        <v>45290.011696782407</v>
      </c>
      <c r="E380" s="2">
        <v>46258.385570775463</v>
      </c>
      <c r="F380" s="1" t="s">
        <v>606</v>
      </c>
      <c r="G380" s="1" t="s">
        <v>25</v>
      </c>
      <c r="H380" s="3">
        <v>45289</v>
      </c>
      <c r="I380" s="1">
        <v>7201.4349999999986</v>
      </c>
      <c r="J380" s="1">
        <v>5290</v>
      </c>
      <c r="K380" s="1">
        <v>-1911.4349999999984</v>
      </c>
      <c r="L380" s="1">
        <v>3517.5</v>
      </c>
      <c r="M380" s="1">
        <v>7100</v>
      </c>
      <c r="N380" s="1">
        <v>3582.5</v>
      </c>
      <c r="O380" s="1">
        <v>23</v>
      </c>
      <c r="P380" s="1">
        <v>400</v>
      </c>
      <c r="Q380" s="1">
        <v>377</v>
      </c>
      <c r="R380" s="1">
        <v>1031.6666666666663</v>
      </c>
      <c r="S380" s="1">
        <v>1370</v>
      </c>
      <c r="T380" s="1">
        <v>338.33333333333348</v>
      </c>
      <c r="U380" s="1">
        <v>2150</v>
      </c>
      <c r="V380" s="1">
        <v>14160</v>
      </c>
      <c r="W380" s="1">
        <v>2386.3983333333349</v>
      </c>
      <c r="X380" s="1">
        <v>236.3983333333349</v>
      </c>
      <c r="AB380" s="2" t="str">
        <f t="shared" si="5"/>
        <v>PASS</v>
      </c>
      <c r="AV380" s="1"/>
      <c r="AW380" s="1"/>
      <c r="AX380" s="1"/>
    </row>
    <row r="381" spans="1:50">
      <c r="A381" s="1" t="s">
        <v>403</v>
      </c>
      <c r="B381" s="1" t="s">
        <v>24</v>
      </c>
      <c r="C381" s="2">
        <v>46258.444321261573</v>
      </c>
      <c r="D381" s="2">
        <v>45290.992249965275</v>
      </c>
      <c r="E381" s="2">
        <v>46258.385570856481</v>
      </c>
      <c r="F381" s="1" t="s">
        <v>606</v>
      </c>
      <c r="G381" s="1" t="s">
        <v>25</v>
      </c>
      <c r="H381" s="3">
        <v>45290</v>
      </c>
      <c r="I381" s="1">
        <v>6056.630000000001</v>
      </c>
      <c r="J381" s="1">
        <v>5560</v>
      </c>
      <c r="K381" s="1">
        <v>-496.63000000000102</v>
      </c>
      <c r="L381" s="1">
        <v>3637.4499999999994</v>
      </c>
      <c r="M381" s="1">
        <v>6700</v>
      </c>
      <c r="N381" s="1">
        <v>3062.5500000000006</v>
      </c>
      <c r="O381" s="1">
        <v>438.80000000000007</v>
      </c>
      <c r="P381" s="1">
        <v>250</v>
      </c>
      <c r="Q381" s="1">
        <v>-188.80000000000007</v>
      </c>
      <c r="R381" s="1">
        <v>585</v>
      </c>
      <c r="S381" s="1">
        <v>790</v>
      </c>
      <c r="T381" s="1">
        <v>205</v>
      </c>
      <c r="U381" s="1">
        <v>2150</v>
      </c>
      <c r="V381" s="1">
        <v>13300</v>
      </c>
      <c r="W381" s="1">
        <v>2582.119999999999</v>
      </c>
      <c r="X381" s="1">
        <v>432.11999999999944</v>
      </c>
      <c r="AB381" s="2" t="str">
        <f t="shared" si="5"/>
        <v>PASS</v>
      </c>
      <c r="AV381" s="1"/>
      <c r="AW381" s="1"/>
      <c r="AX381" s="1"/>
    </row>
    <row r="382" spans="1:50">
      <c r="A382" s="1" t="s">
        <v>404</v>
      </c>
      <c r="B382" s="1" t="s">
        <v>24</v>
      </c>
      <c r="C382" s="2">
        <v>46258.444322453703</v>
      </c>
      <c r="D382" s="2">
        <v>45291.941765625001</v>
      </c>
      <c r="E382" s="2">
        <v>46258.385570937498</v>
      </c>
      <c r="F382" s="1" t="s">
        <v>606</v>
      </c>
      <c r="G382" s="1" t="s">
        <v>25</v>
      </c>
      <c r="H382" s="3">
        <v>45291</v>
      </c>
      <c r="I382" s="1">
        <v>1478.5649999999991</v>
      </c>
      <c r="J382" s="1">
        <v>9700</v>
      </c>
      <c r="K382" s="1">
        <v>8221.4350000000013</v>
      </c>
      <c r="L382" s="1">
        <v>-365.99999999999977</v>
      </c>
      <c r="M382" s="1">
        <v>2300</v>
      </c>
      <c r="N382" s="1">
        <v>2666</v>
      </c>
      <c r="O382" s="1">
        <v>122.74999999999993</v>
      </c>
      <c r="P382" s="1">
        <v>600</v>
      </c>
      <c r="Q382" s="1">
        <v>477.25000000000006</v>
      </c>
      <c r="R382" s="1">
        <v>546.66666666666663</v>
      </c>
      <c r="S382" s="1">
        <v>700</v>
      </c>
      <c r="T382" s="1">
        <v>153.33333333333337</v>
      </c>
      <c r="U382" s="1">
        <v>2150</v>
      </c>
      <c r="V382" s="1">
        <v>13300</v>
      </c>
      <c r="W382" s="1">
        <v>11518.018333333335</v>
      </c>
      <c r="X382" s="1">
        <v>9368.0183333333352</v>
      </c>
      <c r="AB382" s="2" t="str">
        <f t="shared" si="5"/>
        <v>PASS</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selection activeCell="C18" sqref="C18"/>
    </sheetView>
  </sheetViews>
  <sheetFormatPr defaultRowHeight="15"/>
  <cols>
    <col min="1" max="1" width="22.5703125" style="6" customWidth="1"/>
    <col min="2" max="3" width="34.5703125" style="6" customWidth="1"/>
    <col min="4" max="4" width="13.5703125" style="6" customWidth="1"/>
    <col min="5" max="16384" width="9.140625" style="6"/>
  </cols>
  <sheetData>
    <row r="1" spans="1:4">
      <c r="A1" s="5" t="s">
        <v>407</v>
      </c>
      <c r="B1" s="5" t="s">
        <v>424</v>
      </c>
      <c r="C1" s="5" t="s">
        <v>425</v>
      </c>
      <c r="D1" s="5" t="s">
        <v>443</v>
      </c>
    </row>
    <row r="2" spans="1:4">
      <c r="A2" s="4" t="s">
        <v>7</v>
      </c>
      <c r="B2" s="4" t="s">
        <v>426</v>
      </c>
      <c r="C2" s="4" t="s">
        <v>427</v>
      </c>
      <c r="D2" s="4" t="s">
        <v>7</v>
      </c>
    </row>
    <row r="3" spans="1:4">
      <c r="A3" s="4" t="s">
        <v>8</v>
      </c>
      <c r="B3" s="4" t="s">
        <v>428</v>
      </c>
      <c r="C3" s="4" t="s">
        <v>429</v>
      </c>
      <c r="D3" s="4" t="s">
        <v>444</v>
      </c>
    </row>
    <row r="4" spans="1:4">
      <c r="A4" s="4" t="s">
        <v>9</v>
      </c>
      <c r="B4" s="4" t="s">
        <v>430</v>
      </c>
      <c r="C4" s="4" t="s">
        <v>431</v>
      </c>
      <c r="D4" s="4" t="s">
        <v>444</v>
      </c>
    </row>
    <row r="5" spans="1:4">
      <c r="A5" s="4" t="s">
        <v>10</v>
      </c>
      <c r="B5" s="4" t="s">
        <v>432</v>
      </c>
      <c r="C5" s="4" t="s">
        <v>433</v>
      </c>
      <c r="D5" s="4" t="s">
        <v>444</v>
      </c>
    </row>
    <row r="6" spans="1:4">
      <c r="A6" s="4" t="s">
        <v>11</v>
      </c>
      <c r="B6" s="4" t="s">
        <v>434</v>
      </c>
      <c r="C6" s="4" t="s">
        <v>429</v>
      </c>
      <c r="D6" s="4" t="s">
        <v>444</v>
      </c>
    </row>
    <row r="7" spans="1:4">
      <c r="A7" s="4" t="s">
        <v>12</v>
      </c>
      <c r="B7" s="4" t="s">
        <v>435</v>
      </c>
      <c r="C7" s="4" t="s">
        <v>429</v>
      </c>
      <c r="D7" s="4" t="s">
        <v>444</v>
      </c>
    </row>
    <row r="8" spans="1:4">
      <c r="A8" s="4" t="s">
        <v>13</v>
      </c>
      <c r="B8" s="4" t="s">
        <v>436</v>
      </c>
      <c r="C8" s="4" t="s">
        <v>433</v>
      </c>
      <c r="D8" s="4" t="s">
        <v>444</v>
      </c>
    </row>
    <row r="9" spans="1:4">
      <c r="A9" s="4" t="s">
        <v>14</v>
      </c>
      <c r="B9" s="4" t="s">
        <v>437</v>
      </c>
      <c r="C9" s="4" t="s">
        <v>438</v>
      </c>
      <c r="D9" s="4" t="s">
        <v>444</v>
      </c>
    </row>
    <row r="10" spans="1:4">
      <c r="A10" s="4" t="s">
        <v>15</v>
      </c>
      <c r="B10" s="4" t="s">
        <v>440</v>
      </c>
      <c r="C10" s="4" t="s">
        <v>438</v>
      </c>
      <c r="D10" s="4" t="s">
        <v>444</v>
      </c>
    </row>
    <row r="11" spans="1:4">
      <c r="A11" s="4" t="s">
        <v>16</v>
      </c>
      <c r="B11" s="4" t="s">
        <v>441</v>
      </c>
      <c r="C11" s="4" t="s">
        <v>438</v>
      </c>
      <c r="D11" s="4" t="s">
        <v>444</v>
      </c>
    </row>
    <row r="12" spans="1:4">
      <c r="A12" s="4" t="s">
        <v>17</v>
      </c>
      <c r="B12" s="4" t="s">
        <v>439</v>
      </c>
      <c r="C12" s="4" t="s">
        <v>429</v>
      </c>
      <c r="D12" s="4" t="s">
        <v>444</v>
      </c>
    </row>
    <row r="13" spans="1:4">
      <c r="A13" s="4" t="s">
        <v>18</v>
      </c>
      <c r="B13" s="4" t="s">
        <v>442</v>
      </c>
      <c r="C13" s="4" t="s">
        <v>429</v>
      </c>
      <c r="D13" s="4" t="s">
        <v>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1"/>
  <sheetViews>
    <sheetView workbookViewId="0">
      <selection activeCell="D12" sqref="D12"/>
    </sheetView>
  </sheetViews>
  <sheetFormatPr defaultRowHeight="15"/>
  <cols>
    <col min="1" max="1" width="26.7109375" bestFit="1" customWidth="1"/>
    <col min="2" max="2" width="15.5703125" customWidth="1"/>
    <col min="3" max="4" width="12.5703125" bestFit="1" customWidth="1"/>
  </cols>
  <sheetData>
    <row r="1" spans="1:3">
      <c r="A1" s="29" t="s">
        <v>407</v>
      </c>
      <c r="B1" s="29" t="s">
        <v>408</v>
      </c>
      <c r="C1" s="29" t="s">
        <v>593</v>
      </c>
    </row>
    <row r="2" spans="1:3">
      <c r="A2" s="13" t="s">
        <v>409</v>
      </c>
      <c r="B2" s="18">
        <f>COUNTBLANK(Daily_Analysis!B2:B382)</f>
        <v>0</v>
      </c>
      <c r="C2" s="30" t="str">
        <f>IF(B2=0,"PASS","CHECK")</f>
        <v>PASS</v>
      </c>
    </row>
    <row r="3" spans="1:3">
      <c r="A3" s="13" t="s">
        <v>410</v>
      </c>
      <c r="B3" s="18">
        <f>COUNTBLANK('Historical Data'!J2:J382)</f>
        <v>0</v>
      </c>
      <c r="C3" s="30" t="str">
        <f t="shared" ref="C3:C31" si="0">IF(B3=0,"PASS","CHECK")</f>
        <v>PASS</v>
      </c>
    </row>
    <row r="4" spans="1:3">
      <c r="A4" s="13" t="s">
        <v>411</v>
      </c>
      <c r="B4" s="18">
        <f>COUNTBLANK('Historical Data'!K2:K382)</f>
        <v>0</v>
      </c>
      <c r="C4" s="30" t="str">
        <f t="shared" si="0"/>
        <v>PASS</v>
      </c>
    </row>
    <row r="5" spans="1:3">
      <c r="A5" s="13" t="s">
        <v>412</v>
      </c>
      <c r="B5" s="18">
        <f>COUNTBLANK('Historical Data'!L2:L382)</f>
        <v>0</v>
      </c>
      <c r="C5" s="30" t="str">
        <f t="shared" si="0"/>
        <v>PASS</v>
      </c>
    </row>
    <row r="6" spans="1:3">
      <c r="A6" s="13" t="s">
        <v>413</v>
      </c>
      <c r="B6" s="18">
        <f>COUNTBLANK('Historical Data'!M2:M382)</f>
        <v>0</v>
      </c>
      <c r="C6" s="30" t="str">
        <f t="shared" si="0"/>
        <v>PASS</v>
      </c>
    </row>
    <row r="7" spans="1:3">
      <c r="A7" s="13" t="s">
        <v>414</v>
      </c>
      <c r="B7" s="18">
        <f>COUNTBLANK('Historical Data'!N2:N382)</f>
        <v>0</v>
      </c>
      <c r="C7" s="30" t="str">
        <f t="shared" si="0"/>
        <v>PASS</v>
      </c>
    </row>
    <row r="8" spans="1:3">
      <c r="A8" s="13" t="s">
        <v>415</v>
      </c>
      <c r="B8" s="18">
        <f>COUNTBLANK('Historical Data'!O2:O382)</f>
        <v>0</v>
      </c>
      <c r="C8" s="30" t="str">
        <f t="shared" si="0"/>
        <v>PASS</v>
      </c>
    </row>
    <row r="9" spans="1:3">
      <c r="A9" s="13" t="s">
        <v>416</v>
      </c>
      <c r="B9" s="18">
        <f>COUNTBLANK('Historical Data'!P2:P382)</f>
        <v>0</v>
      </c>
      <c r="C9" s="30" t="str">
        <f t="shared" si="0"/>
        <v>PASS</v>
      </c>
    </row>
    <row r="10" spans="1:3">
      <c r="A10" s="13" t="s">
        <v>417</v>
      </c>
      <c r="B10" s="18">
        <f>COUNTBLANK('Historical Data'!Q2:Q382)</f>
        <v>0</v>
      </c>
      <c r="C10" s="30" t="str">
        <f t="shared" si="0"/>
        <v>PASS</v>
      </c>
    </row>
    <row r="11" spans="1:3">
      <c r="A11" s="13" t="s">
        <v>418</v>
      </c>
      <c r="B11" s="18">
        <f>COUNTBLANK('Historical Data'!R2:R382)</f>
        <v>0</v>
      </c>
      <c r="C11" s="30" t="str">
        <f t="shared" si="0"/>
        <v>PASS</v>
      </c>
    </row>
    <row r="12" spans="1:3">
      <c r="A12" s="13" t="s">
        <v>419</v>
      </c>
      <c r="B12" s="18">
        <f>COUNTBLANK('Historical Data'!S2:S382)</f>
        <v>0</v>
      </c>
      <c r="C12" s="30" t="str">
        <f t="shared" si="0"/>
        <v>PASS</v>
      </c>
    </row>
    <row r="13" spans="1:3">
      <c r="A13" s="13" t="s">
        <v>420</v>
      </c>
      <c r="B13" s="18">
        <f>COUNTBLANK('Historical Data'!T2:T382)</f>
        <v>0</v>
      </c>
      <c r="C13" s="30" t="str">
        <f t="shared" si="0"/>
        <v>PASS</v>
      </c>
    </row>
    <row r="14" spans="1:3">
      <c r="A14" s="13" t="s">
        <v>421</v>
      </c>
      <c r="B14" s="18">
        <f>COUNTBLANK('Historical Data'!U2:U382)</f>
        <v>0</v>
      </c>
      <c r="C14" s="30" t="str">
        <f t="shared" si="0"/>
        <v>PASS</v>
      </c>
    </row>
    <row r="15" spans="1:3">
      <c r="A15" s="13" t="s">
        <v>422</v>
      </c>
      <c r="B15" s="18">
        <f>COUNTBLANK('Historical Data'!V2:V382)</f>
        <v>0</v>
      </c>
      <c r="C15" s="30" t="str">
        <f t="shared" si="0"/>
        <v>PASS</v>
      </c>
    </row>
    <row r="16" spans="1:3">
      <c r="A16" s="13" t="s">
        <v>406</v>
      </c>
      <c r="B16" s="18">
        <f>COUNTBLANK('Historical Data'!W2:W382)</f>
        <v>0</v>
      </c>
      <c r="C16" s="30" t="str">
        <f t="shared" si="0"/>
        <v>PASS</v>
      </c>
    </row>
    <row r="17" spans="1:3">
      <c r="A17" s="13" t="s">
        <v>423</v>
      </c>
      <c r="B17" s="30">
        <f>COUNTBLANK('Historical Data'!X2:X382)</f>
        <v>0</v>
      </c>
      <c r="C17" s="30" t="str">
        <f t="shared" si="0"/>
        <v>PASS</v>
      </c>
    </row>
    <row r="18" spans="1:3">
      <c r="A18" s="13" t="s">
        <v>453</v>
      </c>
      <c r="B18" s="30">
        <f>COUNTA(Daily_Analysis!A2:A382)</f>
        <v>381</v>
      </c>
      <c r="C18" s="30" t="str">
        <f>IF(B18=381,"PASS","CHECK")</f>
        <v>PASS</v>
      </c>
    </row>
    <row r="19" spans="1:3">
      <c r="A19" s="13" t="s">
        <v>454</v>
      </c>
      <c r="B19" s="30">
        <f>COUNTA(Daily_Analysis!A2:A382)-SUMPRODUCT(1/COUNTIF(Daily_Analysis!A2:A382,Daily_Analysis!A2:A382))</f>
        <v>0</v>
      </c>
      <c r="C19" s="30" t="str">
        <f t="shared" si="0"/>
        <v>PASS</v>
      </c>
    </row>
    <row r="20" spans="1:3">
      <c r="A20" s="13" t="s">
        <v>455</v>
      </c>
      <c r="B20" s="30">
        <f>MAX(Daily_Analysis!A2:A382)-MIN(Daily_Analysis!A2:A382)+1-COUNTA(Daily_Analysis!A2:A382)</f>
        <v>14</v>
      </c>
      <c r="C20" s="30" t="str">
        <f t="shared" si="0"/>
        <v>CHECK</v>
      </c>
    </row>
    <row r="21" spans="1:3">
      <c r="A21" s="13" t="s">
        <v>456</v>
      </c>
      <c r="B21" s="30">
        <f>COUNTIF(Daily_Analysis!Q2:Q382,"&lt;0")</f>
        <v>81</v>
      </c>
      <c r="C21" s="30" t="str">
        <f t="shared" si="0"/>
        <v>CHECK</v>
      </c>
    </row>
    <row r="22" spans="1:3">
      <c r="A22" s="13" t="s">
        <v>457</v>
      </c>
      <c r="B22" s="30">
        <f>COUNTIF(Daily_Analysis!P2:P382,"&lt;0")</f>
        <v>7</v>
      </c>
      <c r="C22" s="30" t="str">
        <f t="shared" si="0"/>
        <v>CHECK</v>
      </c>
    </row>
    <row r="23" spans="1:3">
      <c r="A23" s="13" t="s">
        <v>458</v>
      </c>
      <c r="B23" s="30">
        <f>COUNTIF(Daily_Analysis!D2:D382,"&lt;0")</f>
        <v>83</v>
      </c>
      <c r="C23" s="30" t="str">
        <f t="shared" si="0"/>
        <v>CHECK</v>
      </c>
    </row>
    <row r="24" spans="1:3">
      <c r="A24" s="13" t="s">
        <v>459</v>
      </c>
      <c r="B24" s="30">
        <f>COUNTIF(Daily_Analysis!G2:G382,"&lt;0")</f>
        <v>18</v>
      </c>
      <c r="C24" s="30" t="str">
        <f t="shared" si="0"/>
        <v>CHECK</v>
      </c>
    </row>
    <row r="25" spans="1:3">
      <c r="A25" s="13" t="s">
        <v>460</v>
      </c>
      <c r="B25" s="30">
        <f>COUNTIF(Daily_Analysis!M2:M382,"&lt;0")</f>
        <v>2</v>
      </c>
      <c r="C25" s="30" t="str">
        <f t="shared" si="0"/>
        <v>CHECK</v>
      </c>
    </row>
    <row r="26" spans="1:3">
      <c r="A26" s="29" t="s">
        <v>461</v>
      </c>
      <c r="B26" s="30">
        <f>COUNTIF(Daily_Analysis!J2:J382,"&lt;0")</f>
        <v>17</v>
      </c>
      <c r="C26" s="30" t="str">
        <f t="shared" si="0"/>
        <v>CHECK</v>
      </c>
    </row>
    <row r="27" spans="1:3">
      <c r="A27" s="13" t="s">
        <v>462</v>
      </c>
      <c r="B27" s="30">
        <f>SUMPRODUCT(--(ABS(Daily_Analysis!D2:D382-(Daily_Analysis!C2:C382-Daily_Analysis!B2:B382))&gt;0.01))</f>
        <v>0</v>
      </c>
      <c r="C27" s="30" t="str">
        <f t="shared" si="0"/>
        <v>PASS</v>
      </c>
    </row>
    <row r="28" spans="1:3">
      <c r="A28" s="13" t="s">
        <v>463</v>
      </c>
      <c r="B28" s="30">
        <f>SUMPRODUCT(--(ABS(Daily_Analysis!G2:G382-(Daily_Analysis!F2:F382-Daily_Analysis!E2:E382))&gt;0.01))</f>
        <v>1</v>
      </c>
      <c r="C28" s="30" t="str">
        <f>IF(B28=0,"PASS","CHECK")</f>
        <v>CHECK</v>
      </c>
    </row>
    <row r="29" spans="1:3" ht="21.75" customHeight="1">
      <c r="A29" s="13" t="s">
        <v>464</v>
      </c>
      <c r="B29" s="30">
        <f>SUMPRODUCT(--(ABS(Daily_Analysis!J2:J382-(Daily_Analysis!I2:I382-Daily_Analysis!H2:H382))&gt;0.01))</f>
        <v>0</v>
      </c>
      <c r="C29" s="30" t="str">
        <f t="shared" si="0"/>
        <v>PASS</v>
      </c>
    </row>
    <row r="30" spans="1:3">
      <c r="A30" s="13" t="s">
        <v>465</v>
      </c>
      <c r="B30" s="30">
        <f>SUMPRODUCT(--(ABS(Daily_Analysis!M2:M382-(Daily_Analysis!L2:L382-Daily_Analysis!K2:K382))&gt;0.01))</f>
        <v>0</v>
      </c>
      <c r="C30" s="30" t="str">
        <f t="shared" si="0"/>
        <v>PASS</v>
      </c>
    </row>
    <row r="31" spans="1:3">
      <c r="A31" s="13" t="s">
        <v>466</v>
      </c>
      <c r="B31" s="30">
        <f>SUMPRODUCT(--(ABS(Daily_Analysis!Q2:Q382-(Daily_Analysis!P2:P382-Daily_Analysis!N2:N382))&gt;0.01))</f>
        <v>0</v>
      </c>
      <c r="C31" s="30" t="str">
        <f t="shared" si="0"/>
        <v>PASS</v>
      </c>
    </row>
  </sheetData>
  <pageMargins left="0.7" right="0.7" top="0.75" bottom="0.75" header="0.3" footer="0.3"/>
  <ignoredErrors>
    <ignoredError sqref="C18"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82"/>
  <sheetViews>
    <sheetView topLeftCell="K1" workbookViewId="0">
      <selection activeCell="L9" sqref="L9"/>
    </sheetView>
  </sheetViews>
  <sheetFormatPr defaultRowHeight="15"/>
  <cols>
    <col min="1" max="1" width="8.7109375" style="3" bestFit="1" customWidth="1"/>
    <col min="2" max="2" width="12.42578125" customWidth="1"/>
    <col min="3" max="3" width="13.140625" customWidth="1"/>
    <col min="4" max="4" width="13.5703125" customWidth="1"/>
    <col min="5" max="5" width="13.7109375" customWidth="1"/>
    <col min="6" max="6" width="14.42578125" customWidth="1"/>
    <col min="7" max="7" width="14.85546875" customWidth="1"/>
    <col min="8" max="8" width="20.28515625" customWidth="1"/>
    <col min="9" max="9" width="21" customWidth="1"/>
    <col min="10" max="10" width="21.42578125" customWidth="1"/>
    <col min="11" max="11" width="13.7109375" customWidth="1"/>
    <col min="12" max="12" width="14.42578125" customWidth="1"/>
    <col min="13" max="13" width="14.85546875" customWidth="1"/>
    <col min="14" max="14" width="24.5703125" customWidth="1"/>
    <col min="15" max="15" width="18.85546875" customWidth="1"/>
    <col min="16" max="16" width="18.7109375" bestFit="1" customWidth="1"/>
    <col min="17" max="17" width="12.7109375" customWidth="1"/>
    <col min="19" max="19" width="10.85546875" bestFit="1" customWidth="1"/>
    <col min="20" max="20" width="18.140625" bestFit="1" customWidth="1"/>
    <col min="21" max="21" width="10.140625" bestFit="1" customWidth="1"/>
    <col min="22" max="22" width="12.85546875" bestFit="1" customWidth="1"/>
    <col min="23" max="23" width="14.7109375" bestFit="1" customWidth="1"/>
    <col min="24" max="24" width="15.7109375" bestFit="1" customWidth="1"/>
    <col min="25" max="25" width="13.85546875" bestFit="1" customWidth="1"/>
  </cols>
  <sheetData>
    <row r="1" spans="1:25">
      <c r="A1" s="3" t="s">
        <v>7</v>
      </c>
      <c r="B1" s="1" t="s">
        <v>8</v>
      </c>
      <c r="C1" s="1" t="s">
        <v>9</v>
      </c>
      <c r="D1" s="1" t="s">
        <v>10</v>
      </c>
      <c r="E1" s="1" t="s">
        <v>11</v>
      </c>
      <c r="F1" s="1" t="s">
        <v>12</v>
      </c>
      <c r="G1" s="1" t="s">
        <v>13</v>
      </c>
      <c r="H1" s="1" t="s">
        <v>14</v>
      </c>
      <c r="I1" s="1" t="s">
        <v>15</v>
      </c>
      <c r="J1" s="1" t="s">
        <v>16</v>
      </c>
      <c r="K1" s="1" t="s">
        <v>17</v>
      </c>
      <c r="L1" s="1" t="s">
        <v>18</v>
      </c>
      <c r="M1" s="1" t="s">
        <v>19</v>
      </c>
      <c r="N1" s="1" t="s">
        <v>20</v>
      </c>
      <c r="O1" s="1" t="s">
        <v>21</v>
      </c>
      <c r="P1" s="1" t="s">
        <v>406</v>
      </c>
      <c r="Q1" s="1" t="s">
        <v>22</v>
      </c>
      <c r="R1" s="1" t="s">
        <v>445</v>
      </c>
      <c r="S1" s="1" t="s">
        <v>446</v>
      </c>
      <c r="T1" s="1" t="s">
        <v>447</v>
      </c>
      <c r="U1" s="1" t="s">
        <v>448</v>
      </c>
      <c r="V1" s="1" t="s">
        <v>449</v>
      </c>
      <c r="W1" s="1" t="s">
        <v>450</v>
      </c>
      <c r="X1" s="1" t="s">
        <v>451</v>
      </c>
      <c r="Y1" s="1" t="s">
        <v>452</v>
      </c>
    </row>
    <row r="2" spans="1:25">
      <c r="A2" s="3">
        <v>44897</v>
      </c>
      <c r="B2" s="1">
        <v>7395.965000000002</v>
      </c>
      <c r="C2" s="1">
        <v>9730</v>
      </c>
      <c r="D2" s="1">
        <v>2334.0349999999989</v>
      </c>
      <c r="E2" s="1">
        <v>2614.2499999999995</v>
      </c>
      <c r="F2" s="1">
        <v>4200</v>
      </c>
      <c r="G2" s="1">
        <v>1585.7500000000005</v>
      </c>
      <c r="H2" s="1">
        <v>641.49</v>
      </c>
      <c r="I2" s="1">
        <v>2330</v>
      </c>
      <c r="J2" s="1">
        <v>1688.51</v>
      </c>
      <c r="K2" s="1">
        <v>771.66666666666652</v>
      </c>
      <c r="L2" s="1">
        <v>990</v>
      </c>
      <c r="M2" s="1">
        <v>218.33333333333337</v>
      </c>
      <c r="N2" s="1">
        <v>2100</v>
      </c>
      <c r="O2" s="1">
        <v>17250</v>
      </c>
      <c r="P2" s="1">
        <v>5826.6283333333331</v>
      </c>
      <c r="Q2" s="1">
        <v>3726.6283333333326</v>
      </c>
      <c r="R2">
        <f>YEAR(tbl_daily[[#This Row],[Date]])</f>
        <v>2022</v>
      </c>
      <c r="S2" t="str">
        <f>TEXT(tbl_daily[[#This Row],[Date]],"mmmm")</f>
        <v>December</v>
      </c>
      <c r="T2">
        <f>MONTH(tbl_daily[[#This Row],[Date]])</f>
        <v>12</v>
      </c>
      <c r="U2" t="str">
        <f>"Q"&amp;ROUNDUP(MONTH(tbl_daily[[#This Row],[Date]])/3,0)</f>
        <v>Q4</v>
      </c>
      <c r="V2" t="str">
        <f>TEXT(tbl_daily[[#This Row],[Date]],"dddd")</f>
        <v>Friday</v>
      </c>
      <c r="W2" t="str">
        <f t="shared" ref="W2:W65" si="0">IF(Q2&gt;0,"Profitable",IF(Q2&lt;0,"Loss","Break-even"))</f>
        <v>Profitable</v>
      </c>
      <c r="X2">
        <f t="shared" ref="X2:X65" si="1">IFERROR(P2/O2 *100,0)</f>
        <v>33.777555555555558</v>
      </c>
      <c r="Y2">
        <f t="shared" ref="Y2:Y65" si="2">IFERROR(Q2/O2 *100,0)</f>
        <v>21.60364251207729</v>
      </c>
    </row>
    <row r="3" spans="1:25">
      <c r="A3" s="3">
        <v>44898</v>
      </c>
      <c r="B3" s="1">
        <v>9047.4</v>
      </c>
      <c r="C3" s="1">
        <v>11510</v>
      </c>
      <c r="D3" s="1">
        <v>2462.6000000000004</v>
      </c>
      <c r="E3" s="1">
        <v>1167.95</v>
      </c>
      <c r="F3" s="1">
        <v>2100</v>
      </c>
      <c r="G3" s="1">
        <v>932.05</v>
      </c>
      <c r="H3" s="1">
        <v>305</v>
      </c>
      <c r="I3" s="1">
        <v>1350</v>
      </c>
      <c r="J3" s="1">
        <v>1045</v>
      </c>
      <c r="K3" s="1">
        <v>599.16666666666663</v>
      </c>
      <c r="L3" s="1">
        <v>790</v>
      </c>
      <c r="M3" s="1">
        <v>190.83333333333337</v>
      </c>
      <c r="N3" s="1">
        <v>2100</v>
      </c>
      <c r="O3" s="1">
        <v>15750</v>
      </c>
      <c r="P3" s="1">
        <v>4630.4833333333336</v>
      </c>
      <c r="Q3" s="1">
        <v>2530.4833333333336</v>
      </c>
      <c r="R3">
        <f>YEAR(tbl_daily[[#This Row],[Date]])</f>
        <v>2022</v>
      </c>
      <c r="S3" t="str">
        <f>TEXT(tbl_daily[[#This Row],[Date]],"mmmm")</f>
        <v>December</v>
      </c>
      <c r="T3">
        <f>MONTH(tbl_daily[[#This Row],[Date]])</f>
        <v>12</v>
      </c>
      <c r="U3" t="str">
        <f>"Q"&amp;ROUNDUP(MONTH(tbl_daily[[#This Row],[Date]])/3,0)</f>
        <v>Q4</v>
      </c>
      <c r="V3" t="str">
        <f>TEXT(tbl_daily[[#This Row],[Date]],"dddd")</f>
        <v>Saturday</v>
      </c>
      <c r="W3" t="str">
        <f t="shared" si="0"/>
        <v>Profitable</v>
      </c>
      <c r="X3">
        <f t="shared" si="1"/>
        <v>29.399894179894183</v>
      </c>
      <c r="Y3">
        <f t="shared" si="2"/>
        <v>16.066560846560847</v>
      </c>
    </row>
    <row r="4" spans="1:25">
      <c r="A4" s="3">
        <v>44899</v>
      </c>
      <c r="B4" s="1">
        <v>6657.0600000000013</v>
      </c>
      <c r="C4" s="1">
        <v>7390</v>
      </c>
      <c r="D4" s="1">
        <v>732.93999999999869</v>
      </c>
      <c r="E4" s="1">
        <v>1560.9</v>
      </c>
      <c r="F4" s="1">
        <v>2310</v>
      </c>
      <c r="G4" s="1">
        <v>749.10000000000014</v>
      </c>
      <c r="H4" s="1">
        <v>813</v>
      </c>
      <c r="I4" s="1">
        <v>1700</v>
      </c>
      <c r="J4" s="1">
        <v>887</v>
      </c>
      <c r="K4" s="1">
        <v>740</v>
      </c>
      <c r="L4" s="1">
        <v>1000</v>
      </c>
      <c r="M4" s="1">
        <v>260</v>
      </c>
      <c r="N4" s="1">
        <v>2100</v>
      </c>
      <c r="O4" s="1">
        <v>12400</v>
      </c>
      <c r="P4" s="1">
        <v>2629.0399999999991</v>
      </c>
      <c r="Q4" s="1">
        <v>529.03999999999905</v>
      </c>
      <c r="R4">
        <f>YEAR(tbl_daily[[#This Row],[Date]])</f>
        <v>2022</v>
      </c>
      <c r="S4" t="str">
        <f>TEXT(tbl_daily[[#This Row],[Date]],"mmmm")</f>
        <v>December</v>
      </c>
      <c r="T4">
        <f>MONTH(tbl_daily[[#This Row],[Date]])</f>
        <v>12</v>
      </c>
      <c r="U4" t="str">
        <f>"Q"&amp;ROUNDUP(MONTH(tbl_daily[[#This Row],[Date]])/3,0)</f>
        <v>Q4</v>
      </c>
      <c r="V4" t="str">
        <f>TEXT(tbl_daily[[#This Row],[Date]],"dddd")</f>
        <v>Sunday</v>
      </c>
      <c r="W4" t="str">
        <f t="shared" si="0"/>
        <v>Profitable</v>
      </c>
      <c r="X4">
        <f t="shared" si="1"/>
        <v>21.201935483870958</v>
      </c>
      <c r="Y4">
        <f t="shared" si="2"/>
        <v>4.2664516129032179</v>
      </c>
    </row>
    <row r="5" spans="1:25">
      <c r="A5" s="3">
        <v>44900</v>
      </c>
      <c r="B5" s="1">
        <v>6454.0999999999976</v>
      </c>
      <c r="C5" s="1">
        <v>9500</v>
      </c>
      <c r="D5" s="1">
        <v>3045.9000000000024</v>
      </c>
      <c r="E5" s="1">
        <v>2245.3000000000002</v>
      </c>
      <c r="F5" s="1">
        <v>4200</v>
      </c>
      <c r="G5" s="1">
        <v>1954.7</v>
      </c>
      <c r="H5" s="1">
        <v>333</v>
      </c>
      <c r="I5" s="1">
        <v>670</v>
      </c>
      <c r="J5" s="1">
        <v>337</v>
      </c>
      <c r="K5" s="1">
        <v>763.33333333333348</v>
      </c>
      <c r="L5" s="1">
        <v>1010</v>
      </c>
      <c r="M5" s="1">
        <v>246.66666666666663</v>
      </c>
      <c r="N5" s="1">
        <v>2100</v>
      </c>
      <c r="O5" s="1">
        <v>15380</v>
      </c>
      <c r="P5" s="1">
        <v>5584.2666666666692</v>
      </c>
      <c r="Q5" s="1">
        <v>3484.2666666666692</v>
      </c>
      <c r="R5">
        <f>YEAR(tbl_daily[[#This Row],[Date]])</f>
        <v>2022</v>
      </c>
      <c r="S5" t="str">
        <f>TEXT(tbl_daily[[#This Row],[Date]],"mmmm")</f>
        <v>December</v>
      </c>
      <c r="T5">
        <f>MONTH(tbl_daily[[#This Row],[Date]])</f>
        <v>12</v>
      </c>
      <c r="U5" t="str">
        <f>"Q"&amp;ROUNDUP(MONTH(tbl_daily[[#This Row],[Date]])/3,0)</f>
        <v>Q4</v>
      </c>
      <c r="V5" t="str">
        <f>TEXT(tbl_daily[[#This Row],[Date]],"dddd")</f>
        <v>Monday</v>
      </c>
      <c r="W5" t="str">
        <f t="shared" si="0"/>
        <v>Profitable</v>
      </c>
      <c r="X5">
        <f t="shared" si="1"/>
        <v>36.30862592110968</v>
      </c>
      <c r="Y5">
        <f t="shared" si="2"/>
        <v>22.65452969224102</v>
      </c>
    </row>
    <row r="6" spans="1:25">
      <c r="A6" s="3">
        <v>44901</v>
      </c>
      <c r="B6" s="1">
        <v>6140.6950000000006</v>
      </c>
      <c r="C6" s="1">
        <v>7010</v>
      </c>
      <c r="D6" s="1">
        <v>869.30499999999938</v>
      </c>
      <c r="E6" s="1">
        <v>1538.35</v>
      </c>
      <c r="F6" s="1">
        <v>3070</v>
      </c>
      <c r="G6" s="1">
        <v>1531.65</v>
      </c>
      <c r="H6" s="1">
        <v>313.45</v>
      </c>
      <c r="I6" s="1">
        <v>600</v>
      </c>
      <c r="J6" s="1">
        <v>286.55</v>
      </c>
      <c r="K6" s="1">
        <v>760</v>
      </c>
      <c r="L6" s="1">
        <v>970</v>
      </c>
      <c r="M6" s="1">
        <v>210</v>
      </c>
      <c r="N6" s="1">
        <v>2100</v>
      </c>
      <c r="O6" s="1">
        <v>11650</v>
      </c>
      <c r="P6" s="1">
        <v>2897.5049999999997</v>
      </c>
      <c r="Q6" s="1">
        <v>797.50499999999965</v>
      </c>
      <c r="R6">
        <f>YEAR(tbl_daily[[#This Row],[Date]])</f>
        <v>2022</v>
      </c>
      <c r="S6" t="str">
        <f>TEXT(tbl_daily[[#This Row],[Date]],"mmmm")</f>
        <v>December</v>
      </c>
      <c r="T6">
        <f>MONTH(tbl_daily[[#This Row],[Date]])</f>
        <v>12</v>
      </c>
      <c r="U6" t="str">
        <f>"Q"&amp;ROUNDUP(MONTH(tbl_daily[[#This Row],[Date]])/3,0)</f>
        <v>Q4</v>
      </c>
      <c r="V6" t="str">
        <f>TEXT(tbl_daily[[#This Row],[Date]],"dddd")</f>
        <v>Tuesday</v>
      </c>
      <c r="W6" t="str">
        <f t="shared" si="0"/>
        <v>Profitable</v>
      </c>
      <c r="X6">
        <f t="shared" si="1"/>
        <v>24.871287553648067</v>
      </c>
      <c r="Y6">
        <f t="shared" si="2"/>
        <v>6.8455364806866923</v>
      </c>
    </row>
    <row r="7" spans="1:25">
      <c r="A7" s="3">
        <v>44902</v>
      </c>
      <c r="B7" s="1">
        <v>6554.1150000000007</v>
      </c>
      <c r="C7" s="1">
        <v>8100</v>
      </c>
      <c r="D7" s="1">
        <v>1545.8849999999993</v>
      </c>
      <c r="E7" s="1">
        <v>1836.35</v>
      </c>
      <c r="F7" s="1">
        <v>5040</v>
      </c>
      <c r="G7" s="1">
        <v>3203.65</v>
      </c>
      <c r="H7" s="1">
        <v>198.81</v>
      </c>
      <c r="I7" s="1">
        <v>300</v>
      </c>
      <c r="J7" s="1">
        <v>101.19</v>
      </c>
      <c r="K7" s="1">
        <v>980.83333333333326</v>
      </c>
      <c r="L7" s="1">
        <v>1290</v>
      </c>
      <c r="M7" s="1">
        <v>309.16666666666674</v>
      </c>
      <c r="N7" s="1">
        <v>2100</v>
      </c>
      <c r="O7" s="1">
        <v>14730</v>
      </c>
      <c r="P7" s="1">
        <v>5159.8916666666664</v>
      </c>
      <c r="Q7" s="1">
        <v>3059.8916666666664</v>
      </c>
      <c r="R7">
        <f>YEAR(tbl_daily[[#This Row],[Date]])</f>
        <v>2022</v>
      </c>
      <c r="S7" t="str">
        <f>TEXT(tbl_daily[[#This Row],[Date]],"mmmm")</f>
        <v>December</v>
      </c>
      <c r="T7">
        <f>MONTH(tbl_daily[[#This Row],[Date]])</f>
        <v>12</v>
      </c>
      <c r="U7" t="str">
        <f>"Q"&amp;ROUNDUP(MONTH(tbl_daily[[#This Row],[Date]])/3,0)</f>
        <v>Q4</v>
      </c>
      <c r="V7" t="str">
        <f>TEXT(tbl_daily[[#This Row],[Date]],"dddd")</f>
        <v>Wednesday</v>
      </c>
      <c r="W7" t="str">
        <f t="shared" si="0"/>
        <v>Profitable</v>
      </c>
      <c r="X7">
        <f t="shared" si="1"/>
        <v>35.029814437655574</v>
      </c>
      <c r="Y7">
        <f t="shared" si="2"/>
        <v>20.773195293052726</v>
      </c>
    </row>
    <row r="8" spans="1:25">
      <c r="A8" s="3">
        <v>44903</v>
      </c>
      <c r="B8" s="1">
        <v>5881.0349999999999</v>
      </c>
      <c r="C8" s="1">
        <v>6660</v>
      </c>
      <c r="D8" s="1">
        <v>778.96500000000015</v>
      </c>
      <c r="E8" s="1">
        <v>3654.8</v>
      </c>
      <c r="F8" s="1">
        <v>7140</v>
      </c>
      <c r="G8" s="1">
        <v>3485.2</v>
      </c>
      <c r="H8" s="1">
        <v>461.65999999999997</v>
      </c>
      <c r="I8" s="1">
        <v>1330</v>
      </c>
      <c r="J8" s="1">
        <v>868.34</v>
      </c>
      <c r="K8" s="1">
        <v>749.99999999999989</v>
      </c>
      <c r="L8" s="1">
        <v>980</v>
      </c>
      <c r="M8" s="1">
        <v>230.00000000000011</v>
      </c>
      <c r="N8" s="1">
        <v>2100</v>
      </c>
      <c r="O8" s="1">
        <v>16110</v>
      </c>
      <c r="P8" s="1">
        <v>5362.5050000000001</v>
      </c>
      <c r="Q8" s="1">
        <v>3262.5050000000001</v>
      </c>
      <c r="R8">
        <f>YEAR(tbl_daily[[#This Row],[Date]])</f>
        <v>2022</v>
      </c>
      <c r="S8" t="str">
        <f>TEXT(tbl_daily[[#This Row],[Date]],"mmmm")</f>
        <v>December</v>
      </c>
      <c r="T8">
        <f>MONTH(tbl_daily[[#This Row],[Date]])</f>
        <v>12</v>
      </c>
      <c r="U8" t="str">
        <f>"Q"&amp;ROUNDUP(MONTH(tbl_daily[[#This Row],[Date]])/3,0)</f>
        <v>Q4</v>
      </c>
      <c r="V8" t="str">
        <f>TEXT(tbl_daily[[#This Row],[Date]],"dddd")</f>
        <v>Thursday</v>
      </c>
      <c r="W8" t="str">
        <f t="shared" si="0"/>
        <v>Profitable</v>
      </c>
      <c r="X8">
        <f t="shared" si="1"/>
        <v>33.286809435133456</v>
      </c>
      <c r="Y8">
        <f t="shared" si="2"/>
        <v>20.25142768466791</v>
      </c>
    </row>
    <row r="9" spans="1:25">
      <c r="A9" s="3">
        <v>44904</v>
      </c>
      <c r="B9" s="1">
        <v>5413.1149999999998</v>
      </c>
      <c r="C9" s="1">
        <v>6650</v>
      </c>
      <c r="D9" s="1">
        <v>1236.8850000000002</v>
      </c>
      <c r="E9" s="1">
        <v>1268.7999999999995</v>
      </c>
      <c r="F9" s="1">
        <v>2310</v>
      </c>
      <c r="G9" s="1">
        <v>1041.2000000000005</v>
      </c>
      <c r="H9" s="1">
        <v>178</v>
      </c>
      <c r="I9" s="1">
        <v>120</v>
      </c>
      <c r="J9" s="1">
        <v>-58</v>
      </c>
      <c r="K9" s="1">
        <v>620.83333333333326</v>
      </c>
      <c r="L9" s="1">
        <v>830</v>
      </c>
      <c r="M9" s="1">
        <v>209.16666666666671</v>
      </c>
      <c r="N9" s="1">
        <v>1700</v>
      </c>
      <c r="O9" s="1">
        <v>9910</v>
      </c>
      <c r="P9" s="1">
        <v>2429.251666666667</v>
      </c>
      <c r="Q9" s="1">
        <v>729.25166666666701</v>
      </c>
      <c r="R9">
        <f>YEAR(tbl_daily[[#This Row],[Date]])</f>
        <v>2022</v>
      </c>
      <c r="S9" t="str">
        <f>TEXT(tbl_daily[[#This Row],[Date]],"mmmm")</f>
        <v>December</v>
      </c>
      <c r="T9">
        <f>MONTH(tbl_daily[[#This Row],[Date]])</f>
        <v>12</v>
      </c>
      <c r="U9" t="str">
        <f>"Q"&amp;ROUNDUP(MONTH(tbl_daily[[#This Row],[Date]])/3,0)</f>
        <v>Q4</v>
      </c>
      <c r="V9" t="str">
        <f>TEXT(tbl_daily[[#This Row],[Date]],"dddd")</f>
        <v>Friday</v>
      </c>
      <c r="W9" t="str">
        <f t="shared" si="0"/>
        <v>Profitable</v>
      </c>
      <c r="X9">
        <f t="shared" si="1"/>
        <v>24.513134880591998</v>
      </c>
      <c r="Y9">
        <f t="shared" si="2"/>
        <v>7.3587453750420488</v>
      </c>
    </row>
    <row r="10" spans="1:25">
      <c r="A10" s="3">
        <v>44905</v>
      </c>
      <c r="B10" s="1">
        <v>9176.7200000000012</v>
      </c>
      <c r="C10" s="1">
        <v>12000</v>
      </c>
      <c r="D10" s="1">
        <v>2823.2799999999988</v>
      </c>
      <c r="E10" s="1">
        <v>3939.7500000000009</v>
      </c>
      <c r="F10" s="1">
        <v>7560</v>
      </c>
      <c r="G10" s="1">
        <v>3620.2499999999991</v>
      </c>
      <c r="H10" s="1">
        <v>309</v>
      </c>
      <c r="I10" s="1">
        <v>2010</v>
      </c>
      <c r="J10" s="1">
        <v>1701</v>
      </c>
      <c r="K10" s="1">
        <v>1194.1666666666667</v>
      </c>
      <c r="L10" s="1">
        <v>1490</v>
      </c>
      <c r="M10" s="1">
        <v>295.83333333333326</v>
      </c>
      <c r="N10" s="1">
        <v>1700</v>
      </c>
      <c r="O10" s="1">
        <v>23060</v>
      </c>
      <c r="P10" s="1">
        <v>8440.3633333333328</v>
      </c>
      <c r="Q10" s="1">
        <v>6740.3633333333328</v>
      </c>
      <c r="R10">
        <f>YEAR(tbl_daily[[#This Row],[Date]])</f>
        <v>2022</v>
      </c>
      <c r="S10" t="str">
        <f>TEXT(tbl_daily[[#This Row],[Date]],"mmmm")</f>
        <v>December</v>
      </c>
      <c r="T10">
        <f>MONTH(tbl_daily[[#This Row],[Date]])</f>
        <v>12</v>
      </c>
      <c r="U10" t="str">
        <f>"Q"&amp;ROUNDUP(MONTH(tbl_daily[[#This Row],[Date]])/3,0)</f>
        <v>Q4</v>
      </c>
      <c r="V10" t="str">
        <f>TEXT(tbl_daily[[#This Row],[Date]],"dddd")</f>
        <v>Saturday</v>
      </c>
      <c r="W10" t="str">
        <f t="shared" si="0"/>
        <v>Profitable</v>
      </c>
      <c r="X10">
        <f t="shared" si="1"/>
        <v>36.601749060422087</v>
      </c>
      <c r="Y10">
        <f t="shared" si="2"/>
        <v>29.229676206996242</v>
      </c>
    </row>
    <row r="11" spans="1:25">
      <c r="A11" s="3">
        <v>44906</v>
      </c>
      <c r="B11" s="1">
        <v>8557.08</v>
      </c>
      <c r="C11" s="1">
        <v>9350</v>
      </c>
      <c r="D11" s="1">
        <v>792.92</v>
      </c>
      <c r="E11" s="1">
        <v>2370.7000000000003</v>
      </c>
      <c r="F11" s="1">
        <v>4200</v>
      </c>
      <c r="G11" s="1">
        <v>1829.2999999999995</v>
      </c>
      <c r="H11" s="1">
        <v>354</v>
      </c>
      <c r="I11" s="1">
        <v>1640</v>
      </c>
      <c r="J11" s="1">
        <v>1286</v>
      </c>
      <c r="K11" s="1">
        <v>678.33333333333337</v>
      </c>
      <c r="L11" s="1">
        <v>910</v>
      </c>
      <c r="M11" s="1">
        <v>231.66666666666663</v>
      </c>
      <c r="N11" s="1">
        <v>1700</v>
      </c>
      <c r="O11" s="1">
        <v>16100</v>
      </c>
      <c r="P11" s="1">
        <v>4139.8866666666663</v>
      </c>
      <c r="Q11" s="1">
        <v>2439.8866666666663</v>
      </c>
      <c r="R11">
        <f>YEAR(tbl_daily[[#This Row],[Date]])</f>
        <v>2022</v>
      </c>
      <c r="S11" t="str">
        <f>TEXT(tbl_daily[[#This Row],[Date]],"mmmm")</f>
        <v>December</v>
      </c>
      <c r="T11">
        <f>MONTH(tbl_daily[[#This Row],[Date]])</f>
        <v>12</v>
      </c>
      <c r="U11" t="str">
        <f>"Q"&amp;ROUNDUP(MONTH(tbl_daily[[#This Row],[Date]])/3,0)</f>
        <v>Q4</v>
      </c>
      <c r="V11" t="str">
        <f>TEXT(tbl_daily[[#This Row],[Date]],"dddd")</f>
        <v>Sunday</v>
      </c>
      <c r="W11" t="str">
        <f t="shared" si="0"/>
        <v>Profitable</v>
      </c>
      <c r="X11">
        <f t="shared" si="1"/>
        <v>25.713581780538302</v>
      </c>
      <c r="Y11">
        <f t="shared" si="2"/>
        <v>15.154575569358176</v>
      </c>
    </row>
    <row r="12" spans="1:25">
      <c r="A12" s="3">
        <v>44907</v>
      </c>
      <c r="B12" s="1">
        <v>8388.9400000000023</v>
      </c>
      <c r="C12" s="1">
        <v>10910</v>
      </c>
      <c r="D12" s="1">
        <v>2521.0599999999977</v>
      </c>
      <c r="E12" s="1">
        <v>2348.5</v>
      </c>
      <c r="F12" s="1">
        <v>3780</v>
      </c>
      <c r="G12" s="1">
        <v>1431.5</v>
      </c>
      <c r="H12" s="1">
        <v>339.15000000000003</v>
      </c>
      <c r="I12" s="1">
        <v>1460</v>
      </c>
      <c r="J12" s="1">
        <v>1120.8499999999999</v>
      </c>
      <c r="K12" s="1">
        <v>368.33333333333326</v>
      </c>
      <c r="L12" s="1">
        <v>400</v>
      </c>
      <c r="M12" s="1">
        <v>31.666666666666689</v>
      </c>
      <c r="N12" s="1">
        <v>1700</v>
      </c>
      <c r="O12" s="1">
        <v>16550</v>
      </c>
      <c r="P12" s="1">
        <v>5105.076666666665</v>
      </c>
      <c r="Q12" s="1">
        <v>3405.076666666665</v>
      </c>
      <c r="R12">
        <f>YEAR(tbl_daily[[#This Row],[Date]])</f>
        <v>2022</v>
      </c>
      <c r="S12" t="str">
        <f>TEXT(tbl_daily[[#This Row],[Date]],"mmmm")</f>
        <v>December</v>
      </c>
      <c r="T12">
        <f>MONTH(tbl_daily[[#This Row],[Date]])</f>
        <v>12</v>
      </c>
      <c r="U12" t="str">
        <f>"Q"&amp;ROUNDUP(MONTH(tbl_daily[[#This Row],[Date]])/3,0)</f>
        <v>Q4</v>
      </c>
      <c r="V12" t="str">
        <f>TEXT(tbl_daily[[#This Row],[Date]],"dddd")</f>
        <v>Monday</v>
      </c>
      <c r="W12" t="str">
        <f t="shared" si="0"/>
        <v>Profitable</v>
      </c>
      <c r="X12">
        <f t="shared" si="1"/>
        <v>30.846384692849938</v>
      </c>
      <c r="Y12">
        <f t="shared" si="2"/>
        <v>20.574481369587101</v>
      </c>
    </row>
    <row r="13" spans="1:25">
      <c r="A13" s="3">
        <v>44908</v>
      </c>
      <c r="B13" s="1">
        <v>7390.19</v>
      </c>
      <c r="C13" s="1">
        <v>9850</v>
      </c>
      <c r="D13" s="1">
        <v>2459.8100000000004</v>
      </c>
      <c r="E13" s="1">
        <v>961.94999999999982</v>
      </c>
      <c r="F13" s="1">
        <v>2100</v>
      </c>
      <c r="G13" s="1">
        <v>1138.0500000000002</v>
      </c>
      <c r="H13" s="1">
        <v>90</v>
      </c>
      <c r="I13" s="1">
        <v>750</v>
      </c>
      <c r="J13" s="1">
        <v>660</v>
      </c>
      <c r="K13" s="1">
        <v>595</v>
      </c>
      <c r="L13" s="1">
        <v>730</v>
      </c>
      <c r="M13" s="1">
        <v>135</v>
      </c>
      <c r="N13" s="1">
        <v>2100</v>
      </c>
      <c r="O13" s="1">
        <v>13430</v>
      </c>
      <c r="P13" s="1">
        <v>4392.8600000000006</v>
      </c>
      <c r="Q13" s="1">
        <v>2292.8600000000006</v>
      </c>
      <c r="R13">
        <f>YEAR(tbl_daily[[#This Row],[Date]])</f>
        <v>2022</v>
      </c>
      <c r="S13" t="str">
        <f>TEXT(tbl_daily[[#This Row],[Date]],"mmmm")</f>
        <v>December</v>
      </c>
      <c r="T13">
        <f>MONTH(tbl_daily[[#This Row],[Date]])</f>
        <v>12</v>
      </c>
      <c r="U13" t="str">
        <f>"Q"&amp;ROUNDUP(MONTH(tbl_daily[[#This Row],[Date]])/3,0)</f>
        <v>Q4</v>
      </c>
      <c r="V13" t="str">
        <f>TEXT(tbl_daily[[#This Row],[Date]],"dddd")</f>
        <v>Tuesday</v>
      </c>
      <c r="W13" t="str">
        <f t="shared" si="0"/>
        <v>Profitable</v>
      </c>
      <c r="X13">
        <f t="shared" si="1"/>
        <v>32.70930752047655</v>
      </c>
      <c r="Y13">
        <f t="shared" si="2"/>
        <v>17.072673119880868</v>
      </c>
    </row>
    <row r="14" spans="1:25">
      <c r="A14" s="3">
        <v>44909</v>
      </c>
      <c r="B14" s="1">
        <v>7461.23</v>
      </c>
      <c r="C14" s="1">
        <v>8730</v>
      </c>
      <c r="D14" s="1">
        <v>1268.7700000000004</v>
      </c>
      <c r="E14" s="1">
        <v>2836.8000000000006</v>
      </c>
      <c r="F14" s="1">
        <v>5460</v>
      </c>
      <c r="G14" s="1">
        <v>2623.1999999999994</v>
      </c>
      <c r="H14" s="1">
        <v>258</v>
      </c>
      <c r="I14" s="1">
        <v>360</v>
      </c>
      <c r="J14" s="1">
        <v>102</v>
      </c>
      <c r="K14" s="1">
        <v>481.66666666666674</v>
      </c>
      <c r="L14" s="1">
        <v>700</v>
      </c>
      <c r="M14" s="1">
        <v>218.33333333333331</v>
      </c>
      <c r="N14" s="1">
        <v>2100</v>
      </c>
      <c r="O14" s="1">
        <v>15250</v>
      </c>
      <c r="P14" s="1">
        <v>4212.3033333333333</v>
      </c>
      <c r="Q14" s="1">
        <v>2112.3033333333333</v>
      </c>
      <c r="R14">
        <f>YEAR(tbl_daily[[#This Row],[Date]])</f>
        <v>2022</v>
      </c>
      <c r="S14" t="str">
        <f>TEXT(tbl_daily[[#This Row],[Date]],"mmmm")</f>
        <v>December</v>
      </c>
      <c r="T14">
        <f>MONTH(tbl_daily[[#This Row],[Date]])</f>
        <v>12</v>
      </c>
      <c r="U14" t="str">
        <f>"Q"&amp;ROUNDUP(MONTH(tbl_daily[[#This Row],[Date]])/3,0)</f>
        <v>Q4</v>
      </c>
      <c r="V14" t="str">
        <f>TEXT(tbl_daily[[#This Row],[Date]],"dddd")</f>
        <v>Wednesday</v>
      </c>
      <c r="W14" t="str">
        <f t="shared" si="0"/>
        <v>Profitable</v>
      </c>
      <c r="X14">
        <f t="shared" si="1"/>
        <v>27.621661202185795</v>
      </c>
      <c r="Y14">
        <f t="shared" si="2"/>
        <v>13.851169398907103</v>
      </c>
    </row>
    <row r="15" spans="1:25">
      <c r="A15" s="3">
        <v>44910</v>
      </c>
      <c r="B15" s="1">
        <v>6902.3849999999993</v>
      </c>
      <c r="C15" s="1">
        <v>6590</v>
      </c>
      <c r="D15" s="1">
        <v>-312.38499999999931</v>
      </c>
      <c r="E15" s="1">
        <v>1258.4000000000001</v>
      </c>
      <c r="F15" s="1">
        <v>1890</v>
      </c>
      <c r="G15" s="1">
        <v>631.59999999999991</v>
      </c>
      <c r="H15" s="1">
        <v>539</v>
      </c>
      <c r="I15" s="1">
        <v>1270</v>
      </c>
      <c r="J15" s="1">
        <v>731</v>
      </c>
      <c r="K15" s="1">
        <v>190.83333333333331</v>
      </c>
      <c r="L15" s="1">
        <v>250</v>
      </c>
      <c r="M15" s="1">
        <v>59.166666666666686</v>
      </c>
      <c r="N15" s="1">
        <v>2100</v>
      </c>
      <c r="O15" s="1">
        <v>10000</v>
      </c>
      <c r="P15" s="1">
        <v>1109.3816666666671</v>
      </c>
      <c r="Q15" s="1">
        <v>-990.61833333333266</v>
      </c>
      <c r="R15">
        <f>YEAR(tbl_daily[[#This Row],[Date]])</f>
        <v>2022</v>
      </c>
      <c r="S15" t="str">
        <f>TEXT(tbl_daily[[#This Row],[Date]],"mmmm")</f>
        <v>December</v>
      </c>
      <c r="T15">
        <f>MONTH(tbl_daily[[#This Row],[Date]])</f>
        <v>12</v>
      </c>
      <c r="U15" t="str">
        <f>"Q"&amp;ROUNDUP(MONTH(tbl_daily[[#This Row],[Date]])/3,0)</f>
        <v>Q4</v>
      </c>
      <c r="V15" t="str">
        <f>TEXT(tbl_daily[[#This Row],[Date]],"dddd")</f>
        <v>Thursday</v>
      </c>
      <c r="W15" t="str">
        <f t="shared" si="0"/>
        <v>Loss</v>
      </c>
      <c r="X15">
        <f t="shared" si="1"/>
        <v>11.093816666666671</v>
      </c>
      <c r="Y15">
        <f t="shared" si="2"/>
        <v>-9.9061833333333258</v>
      </c>
    </row>
    <row r="16" spans="1:25">
      <c r="A16" s="3">
        <v>44911</v>
      </c>
      <c r="B16" s="1">
        <v>6968.4699999999984</v>
      </c>
      <c r="C16" s="1">
        <v>9075</v>
      </c>
      <c r="D16" s="1">
        <v>2106.5300000000016</v>
      </c>
      <c r="E16" s="1">
        <v>2610.1000000000004</v>
      </c>
      <c r="F16" s="1">
        <v>3990</v>
      </c>
      <c r="G16" s="1">
        <v>1379.8999999999996</v>
      </c>
      <c r="H16" s="1">
        <v>282.66000000000003</v>
      </c>
      <c r="I16" s="1">
        <v>1490</v>
      </c>
      <c r="J16" s="1">
        <v>1207.3399999999999</v>
      </c>
      <c r="K16" s="1">
        <v>585</v>
      </c>
      <c r="L16" s="1">
        <v>560</v>
      </c>
      <c r="M16" s="1">
        <v>-25</v>
      </c>
      <c r="N16" s="1">
        <v>2100</v>
      </c>
      <c r="O16" s="1">
        <v>15115</v>
      </c>
      <c r="P16" s="1">
        <v>4668.7700000000013</v>
      </c>
      <c r="Q16" s="1">
        <v>2568.7700000000013</v>
      </c>
      <c r="R16">
        <f>YEAR(tbl_daily[[#This Row],[Date]])</f>
        <v>2022</v>
      </c>
      <c r="S16" t="str">
        <f>TEXT(tbl_daily[[#This Row],[Date]],"mmmm")</f>
        <v>December</v>
      </c>
      <c r="T16">
        <f>MONTH(tbl_daily[[#This Row],[Date]])</f>
        <v>12</v>
      </c>
      <c r="U16" t="str">
        <f>"Q"&amp;ROUNDUP(MONTH(tbl_daily[[#This Row],[Date]])/3,0)</f>
        <v>Q4</v>
      </c>
      <c r="V16" t="str">
        <f>TEXT(tbl_daily[[#This Row],[Date]],"dddd")</f>
        <v>Friday</v>
      </c>
      <c r="W16" t="str">
        <f t="shared" si="0"/>
        <v>Profitable</v>
      </c>
      <c r="X16">
        <f t="shared" si="1"/>
        <v>30.888322858088003</v>
      </c>
      <c r="Y16">
        <f t="shared" si="2"/>
        <v>16.994839563347679</v>
      </c>
    </row>
    <row r="17" spans="1:25">
      <c r="A17" s="3">
        <v>44912</v>
      </c>
      <c r="B17" s="1">
        <v>6277.9250000000011</v>
      </c>
      <c r="C17" s="1">
        <v>7310</v>
      </c>
      <c r="D17" s="1">
        <v>1032.0749999999989</v>
      </c>
      <c r="E17" s="1">
        <v>1765.1</v>
      </c>
      <c r="F17" s="1">
        <v>3150</v>
      </c>
      <c r="G17" s="1">
        <v>1384.9</v>
      </c>
      <c r="H17" s="1">
        <v>118</v>
      </c>
      <c r="I17" s="1">
        <v>120</v>
      </c>
      <c r="J17" s="1">
        <v>2</v>
      </c>
      <c r="K17" s="1">
        <v>314.16666666666669</v>
      </c>
      <c r="L17" s="1">
        <v>420</v>
      </c>
      <c r="M17" s="1">
        <v>105.83333333333331</v>
      </c>
      <c r="N17" s="1">
        <v>2100</v>
      </c>
      <c r="O17" s="1">
        <v>11000</v>
      </c>
      <c r="P17" s="1">
        <v>2524.8083333333325</v>
      </c>
      <c r="Q17" s="1">
        <v>424.80833333333248</v>
      </c>
      <c r="R17">
        <f>YEAR(tbl_daily[[#This Row],[Date]])</f>
        <v>2022</v>
      </c>
      <c r="S17" t="str">
        <f>TEXT(tbl_daily[[#This Row],[Date]],"mmmm")</f>
        <v>December</v>
      </c>
      <c r="T17">
        <f>MONTH(tbl_daily[[#This Row],[Date]])</f>
        <v>12</v>
      </c>
      <c r="U17" t="str">
        <f>"Q"&amp;ROUNDUP(MONTH(tbl_daily[[#This Row],[Date]])/3,0)</f>
        <v>Q4</v>
      </c>
      <c r="V17" t="str">
        <f>TEXT(tbl_daily[[#This Row],[Date]],"dddd")</f>
        <v>Saturday</v>
      </c>
      <c r="W17" t="str">
        <f t="shared" si="0"/>
        <v>Profitable</v>
      </c>
      <c r="X17">
        <f t="shared" si="1"/>
        <v>22.952803030303023</v>
      </c>
      <c r="Y17">
        <f t="shared" si="2"/>
        <v>3.8618939393939318</v>
      </c>
    </row>
    <row r="18" spans="1:25">
      <c r="A18" s="3">
        <v>44913</v>
      </c>
      <c r="B18" s="1">
        <v>7192.3549999999996</v>
      </c>
      <c r="C18" s="1">
        <v>7570</v>
      </c>
      <c r="D18" s="1">
        <v>377.64500000000049</v>
      </c>
      <c r="E18" s="1">
        <v>1874.25</v>
      </c>
      <c r="F18" s="1">
        <v>3570</v>
      </c>
      <c r="G18" s="1">
        <v>1695.7500000000002</v>
      </c>
      <c r="H18" s="1">
        <v>202</v>
      </c>
      <c r="I18" s="1">
        <v>480</v>
      </c>
      <c r="J18" s="1">
        <v>278</v>
      </c>
      <c r="K18" s="1">
        <v>420.83333333333326</v>
      </c>
      <c r="L18" s="1">
        <v>490</v>
      </c>
      <c r="M18" s="1">
        <v>69.166666666666686</v>
      </c>
      <c r="N18" s="1">
        <v>2100</v>
      </c>
      <c r="O18" s="1">
        <v>12110</v>
      </c>
      <c r="P18" s="1">
        <v>2420.561666666667</v>
      </c>
      <c r="Q18" s="1">
        <v>320.56166666666695</v>
      </c>
      <c r="R18">
        <f>YEAR(tbl_daily[[#This Row],[Date]])</f>
        <v>2022</v>
      </c>
      <c r="S18" t="str">
        <f>TEXT(tbl_daily[[#This Row],[Date]],"mmmm")</f>
        <v>December</v>
      </c>
      <c r="T18">
        <f>MONTH(tbl_daily[[#This Row],[Date]])</f>
        <v>12</v>
      </c>
      <c r="U18" t="str">
        <f>"Q"&amp;ROUNDUP(MONTH(tbl_daily[[#This Row],[Date]])/3,0)</f>
        <v>Q4</v>
      </c>
      <c r="V18" t="str">
        <f>TEXT(tbl_daily[[#This Row],[Date]],"dddd")</f>
        <v>Sunday</v>
      </c>
      <c r="W18" t="str">
        <f t="shared" si="0"/>
        <v>Profitable</v>
      </c>
      <c r="X18">
        <f t="shared" si="1"/>
        <v>19.988122763556294</v>
      </c>
      <c r="Y18">
        <f t="shared" si="2"/>
        <v>2.6470823011285463</v>
      </c>
    </row>
    <row r="19" spans="1:25">
      <c r="A19" s="3">
        <v>44914</v>
      </c>
      <c r="B19" s="1">
        <v>7391.92</v>
      </c>
      <c r="C19" s="1">
        <v>7320</v>
      </c>
      <c r="D19" s="1">
        <v>-71.920000000000073</v>
      </c>
      <c r="E19" s="1">
        <v>854.05</v>
      </c>
      <c r="F19" s="1">
        <v>1050</v>
      </c>
      <c r="G19" s="1">
        <v>195.94999999999993</v>
      </c>
      <c r="H19" s="1">
        <v>174</v>
      </c>
      <c r="I19" s="1">
        <v>990</v>
      </c>
      <c r="J19" s="1">
        <v>816</v>
      </c>
      <c r="K19" s="1">
        <v>580.83333333333326</v>
      </c>
      <c r="L19" s="1">
        <v>760</v>
      </c>
      <c r="M19" s="1">
        <v>179.16666666666674</v>
      </c>
      <c r="N19" s="1">
        <v>2100</v>
      </c>
      <c r="O19" s="1">
        <v>10120</v>
      </c>
      <c r="P19" s="1">
        <v>1119.1966666666667</v>
      </c>
      <c r="Q19" s="1">
        <v>-980.80333333333328</v>
      </c>
      <c r="R19">
        <f>YEAR(tbl_daily[[#This Row],[Date]])</f>
        <v>2022</v>
      </c>
      <c r="S19" t="str">
        <f>TEXT(tbl_daily[[#This Row],[Date]],"mmmm")</f>
        <v>December</v>
      </c>
      <c r="T19">
        <f>MONTH(tbl_daily[[#This Row],[Date]])</f>
        <v>12</v>
      </c>
      <c r="U19" t="str">
        <f>"Q"&amp;ROUNDUP(MONTH(tbl_daily[[#This Row],[Date]])/3,0)</f>
        <v>Q4</v>
      </c>
      <c r="V19" t="str">
        <f>TEXT(tbl_daily[[#This Row],[Date]],"dddd")</f>
        <v>Monday</v>
      </c>
      <c r="W19" t="str">
        <f t="shared" si="0"/>
        <v>Loss</v>
      </c>
      <c r="X19">
        <f t="shared" si="1"/>
        <v>11.059255599472992</v>
      </c>
      <c r="Y19">
        <f t="shared" si="2"/>
        <v>-9.6917325428194996</v>
      </c>
    </row>
    <row r="20" spans="1:25">
      <c r="A20" s="3">
        <v>44915</v>
      </c>
      <c r="B20" s="1">
        <v>5568.7099999999991</v>
      </c>
      <c r="C20" s="1">
        <v>6860</v>
      </c>
      <c r="D20" s="1">
        <v>1291.2900000000009</v>
      </c>
      <c r="E20" s="1">
        <v>1822.2999999999995</v>
      </c>
      <c r="F20" s="1">
        <v>3360</v>
      </c>
      <c r="G20" s="1">
        <v>1537.7000000000005</v>
      </c>
      <c r="H20" s="1">
        <v>118</v>
      </c>
      <c r="I20" s="1">
        <v>370</v>
      </c>
      <c r="J20" s="1">
        <v>252</v>
      </c>
      <c r="K20" s="1">
        <v>357.5</v>
      </c>
      <c r="L20" s="1">
        <v>460</v>
      </c>
      <c r="M20" s="1">
        <v>102.5</v>
      </c>
      <c r="N20" s="1">
        <v>2500</v>
      </c>
      <c r="O20" s="1">
        <v>11050</v>
      </c>
      <c r="P20" s="1">
        <v>3183.4900000000011</v>
      </c>
      <c r="Q20" s="1">
        <v>683.49000000000115</v>
      </c>
      <c r="R20">
        <f>YEAR(tbl_daily[[#This Row],[Date]])</f>
        <v>2022</v>
      </c>
      <c r="S20" t="str">
        <f>TEXT(tbl_daily[[#This Row],[Date]],"mmmm")</f>
        <v>December</v>
      </c>
      <c r="T20">
        <f>MONTH(tbl_daily[[#This Row],[Date]])</f>
        <v>12</v>
      </c>
      <c r="U20" t="str">
        <f>"Q"&amp;ROUNDUP(MONTH(tbl_daily[[#This Row],[Date]])/3,0)</f>
        <v>Q4</v>
      </c>
      <c r="V20" t="str">
        <f>TEXT(tbl_daily[[#This Row],[Date]],"dddd")</f>
        <v>Tuesday</v>
      </c>
      <c r="W20" t="str">
        <f t="shared" si="0"/>
        <v>Profitable</v>
      </c>
      <c r="X20">
        <f t="shared" si="1"/>
        <v>28.809864253393673</v>
      </c>
      <c r="Y20">
        <f t="shared" si="2"/>
        <v>6.185429864253404</v>
      </c>
    </row>
    <row r="21" spans="1:25">
      <c r="A21" s="3">
        <v>44916</v>
      </c>
      <c r="B21" s="1">
        <v>6487.8249999999989</v>
      </c>
      <c r="C21" s="1">
        <v>6860</v>
      </c>
      <c r="D21" s="1">
        <v>372.17500000000115</v>
      </c>
      <c r="E21" s="1">
        <v>2472.5000000000005</v>
      </c>
      <c r="F21" s="1">
        <v>4330</v>
      </c>
      <c r="G21" s="1">
        <v>1857.4999999999995</v>
      </c>
      <c r="H21" s="1">
        <v>169.66000000000003</v>
      </c>
      <c r="I21" s="1">
        <v>1050</v>
      </c>
      <c r="J21" s="1">
        <v>880.33999999999992</v>
      </c>
      <c r="K21" s="1">
        <v>820.83333333333326</v>
      </c>
      <c r="L21" s="1">
        <v>1070</v>
      </c>
      <c r="M21" s="1">
        <v>249.16666666666671</v>
      </c>
      <c r="N21" s="1">
        <v>2500</v>
      </c>
      <c r="O21" s="1">
        <v>13310</v>
      </c>
      <c r="P21" s="1">
        <v>3359.1816666666673</v>
      </c>
      <c r="Q21" s="1">
        <v>859.1816666666673</v>
      </c>
      <c r="R21">
        <f>YEAR(tbl_daily[[#This Row],[Date]])</f>
        <v>2022</v>
      </c>
      <c r="S21" t="str">
        <f>TEXT(tbl_daily[[#This Row],[Date]],"mmmm")</f>
        <v>December</v>
      </c>
      <c r="T21">
        <f>MONTH(tbl_daily[[#This Row],[Date]])</f>
        <v>12</v>
      </c>
      <c r="U21" t="str">
        <f>"Q"&amp;ROUNDUP(MONTH(tbl_daily[[#This Row],[Date]])/3,0)</f>
        <v>Q4</v>
      </c>
      <c r="V21" t="str">
        <f>TEXT(tbl_daily[[#This Row],[Date]],"dddd")</f>
        <v>Wednesday</v>
      </c>
      <c r="W21" t="str">
        <f t="shared" si="0"/>
        <v>Profitable</v>
      </c>
      <c r="X21">
        <f t="shared" si="1"/>
        <v>25.238029050838971</v>
      </c>
      <c r="Y21">
        <f t="shared" si="2"/>
        <v>6.4551590282995281</v>
      </c>
    </row>
    <row r="22" spans="1:25">
      <c r="A22" s="3">
        <v>44917</v>
      </c>
      <c r="B22" s="1">
        <v>5583.74</v>
      </c>
      <c r="C22" s="1">
        <v>6850</v>
      </c>
      <c r="D22" s="1">
        <v>1266.2600000000002</v>
      </c>
      <c r="E22" s="1">
        <v>1275.1499999999996</v>
      </c>
      <c r="F22" s="1">
        <v>2520</v>
      </c>
      <c r="G22" s="1">
        <v>1244.8500000000004</v>
      </c>
      <c r="H22" s="1">
        <v>163.83000000000001</v>
      </c>
      <c r="I22" s="1">
        <v>1050</v>
      </c>
      <c r="J22" s="1">
        <v>886.17</v>
      </c>
      <c r="K22" s="1">
        <v>854.16666666666652</v>
      </c>
      <c r="L22" s="1">
        <v>1070</v>
      </c>
      <c r="M22" s="1">
        <v>215.83333333333348</v>
      </c>
      <c r="N22" s="1">
        <v>2500</v>
      </c>
      <c r="O22" s="1">
        <v>11490</v>
      </c>
      <c r="P22" s="1">
        <v>3613.1133333333346</v>
      </c>
      <c r="Q22" s="1">
        <v>1113.1133333333339</v>
      </c>
      <c r="R22">
        <f>YEAR(tbl_daily[[#This Row],[Date]])</f>
        <v>2022</v>
      </c>
      <c r="S22" t="str">
        <f>TEXT(tbl_daily[[#This Row],[Date]],"mmmm")</f>
        <v>December</v>
      </c>
      <c r="T22">
        <f>MONTH(tbl_daily[[#This Row],[Date]])</f>
        <v>12</v>
      </c>
      <c r="U22" t="str">
        <f>"Q"&amp;ROUNDUP(MONTH(tbl_daily[[#This Row],[Date]])/3,0)</f>
        <v>Q4</v>
      </c>
      <c r="V22" t="str">
        <f>TEXT(tbl_daily[[#This Row],[Date]],"dddd")</f>
        <v>Thursday</v>
      </c>
      <c r="W22" t="str">
        <f t="shared" si="0"/>
        <v>Profitable</v>
      </c>
      <c r="X22">
        <f t="shared" si="1"/>
        <v>31.445720916739205</v>
      </c>
      <c r="Y22">
        <f t="shared" si="2"/>
        <v>9.6876704380620868</v>
      </c>
    </row>
    <row r="23" spans="1:25">
      <c r="A23" s="3">
        <v>44918</v>
      </c>
      <c r="B23" s="1">
        <v>7674.625</v>
      </c>
      <c r="C23" s="1">
        <v>9350</v>
      </c>
      <c r="D23" s="1">
        <v>1675.375</v>
      </c>
      <c r="E23" s="1">
        <v>2894</v>
      </c>
      <c r="F23" s="1">
        <v>5460</v>
      </c>
      <c r="G23" s="1">
        <v>2566</v>
      </c>
      <c r="H23" s="1">
        <v>230</v>
      </c>
      <c r="I23" s="1">
        <v>1330</v>
      </c>
      <c r="J23" s="1">
        <v>1100</v>
      </c>
      <c r="K23" s="1">
        <v>450</v>
      </c>
      <c r="L23" s="1">
        <v>600</v>
      </c>
      <c r="M23" s="1">
        <v>150</v>
      </c>
      <c r="N23" s="1">
        <v>2500</v>
      </c>
      <c r="O23" s="1">
        <v>16740</v>
      </c>
      <c r="P23" s="1">
        <v>5491.375</v>
      </c>
      <c r="Q23" s="1">
        <v>2991.375</v>
      </c>
      <c r="R23">
        <f>YEAR(tbl_daily[[#This Row],[Date]])</f>
        <v>2022</v>
      </c>
      <c r="S23" t="str">
        <f>TEXT(tbl_daily[[#This Row],[Date]],"mmmm")</f>
        <v>December</v>
      </c>
      <c r="T23">
        <f>MONTH(tbl_daily[[#This Row],[Date]])</f>
        <v>12</v>
      </c>
      <c r="U23" t="str">
        <f>"Q"&amp;ROUNDUP(MONTH(tbl_daily[[#This Row],[Date]])/3,0)</f>
        <v>Q4</v>
      </c>
      <c r="V23" t="str">
        <f>TEXT(tbl_daily[[#This Row],[Date]],"dddd")</f>
        <v>Friday</v>
      </c>
      <c r="W23" t="str">
        <f t="shared" si="0"/>
        <v>Profitable</v>
      </c>
      <c r="X23">
        <f t="shared" si="1"/>
        <v>32.803912783751493</v>
      </c>
      <c r="Y23">
        <f t="shared" si="2"/>
        <v>17.86962365591398</v>
      </c>
    </row>
    <row r="24" spans="1:25">
      <c r="A24" s="3">
        <v>44919</v>
      </c>
      <c r="B24" s="1">
        <v>8361.994999999999</v>
      </c>
      <c r="C24" s="1">
        <v>10180</v>
      </c>
      <c r="D24" s="1">
        <v>1818.005000000001</v>
      </c>
      <c r="E24" s="1">
        <v>2616.0500000000002</v>
      </c>
      <c r="F24" s="1">
        <v>4620</v>
      </c>
      <c r="G24" s="1">
        <v>2003.95</v>
      </c>
      <c r="H24" s="1">
        <v>424.15</v>
      </c>
      <c r="I24" s="1">
        <v>1280</v>
      </c>
      <c r="J24" s="1">
        <v>855.85</v>
      </c>
      <c r="K24" s="1">
        <v>367.5</v>
      </c>
      <c r="L24" s="1">
        <v>490</v>
      </c>
      <c r="M24" s="1">
        <v>122.5</v>
      </c>
      <c r="N24" s="1">
        <v>2500</v>
      </c>
      <c r="O24" s="1">
        <v>16570</v>
      </c>
      <c r="P24" s="1">
        <v>4800.3050000000012</v>
      </c>
      <c r="Q24" s="1">
        <v>2300.3050000000012</v>
      </c>
      <c r="R24">
        <f>YEAR(tbl_daily[[#This Row],[Date]])</f>
        <v>2022</v>
      </c>
      <c r="S24" t="str">
        <f>TEXT(tbl_daily[[#This Row],[Date]],"mmmm")</f>
        <v>December</v>
      </c>
      <c r="T24">
        <f>MONTH(tbl_daily[[#This Row],[Date]])</f>
        <v>12</v>
      </c>
      <c r="U24" t="str">
        <f>"Q"&amp;ROUNDUP(MONTH(tbl_daily[[#This Row],[Date]])/3,0)</f>
        <v>Q4</v>
      </c>
      <c r="V24" t="str">
        <f>TEXT(tbl_daily[[#This Row],[Date]],"dddd")</f>
        <v>Saturday</v>
      </c>
      <c r="W24" t="str">
        <f t="shared" si="0"/>
        <v>Profitable</v>
      </c>
      <c r="X24">
        <f t="shared" si="1"/>
        <v>28.969855159927587</v>
      </c>
      <c r="Y24">
        <f t="shared" si="2"/>
        <v>13.882347616173815</v>
      </c>
    </row>
    <row r="25" spans="1:25">
      <c r="A25" s="3">
        <v>44920</v>
      </c>
      <c r="B25" s="1">
        <v>8661.720000000003</v>
      </c>
      <c r="C25" s="1">
        <v>8850</v>
      </c>
      <c r="D25" s="1">
        <v>188.27999999999705</v>
      </c>
      <c r="E25" s="1">
        <v>979.85</v>
      </c>
      <c r="F25" s="1">
        <v>1680</v>
      </c>
      <c r="G25" s="1">
        <v>700.15</v>
      </c>
      <c r="H25" s="1">
        <v>385</v>
      </c>
      <c r="I25" s="1">
        <v>1710</v>
      </c>
      <c r="J25" s="1">
        <v>1325</v>
      </c>
      <c r="K25" s="1">
        <v>612.5</v>
      </c>
      <c r="L25" s="1">
        <v>820</v>
      </c>
      <c r="M25" s="1">
        <v>207.5</v>
      </c>
      <c r="N25" s="1">
        <v>2500</v>
      </c>
      <c r="O25" s="1">
        <v>13060</v>
      </c>
      <c r="P25" s="1">
        <v>2420.9299999999971</v>
      </c>
      <c r="Q25" s="1">
        <v>-79.070000000002892</v>
      </c>
      <c r="R25">
        <f>YEAR(tbl_daily[[#This Row],[Date]])</f>
        <v>2022</v>
      </c>
      <c r="S25" t="str">
        <f>TEXT(tbl_daily[[#This Row],[Date]],"mmmm")</f>
        <v>December</v>
      </c>
      <c r="T25">
        <f>MONTH(tbl_daily[[#This Row],[Date]])</f>
        <v>12</v>
      </c>
      <c r="U25" t="str">
        <f>"Q"&amp;ROUNDUP(MONTH(tbl_daily[[#This Row],[Date]])/3,0)</f>
        <v>Q4</v>
      </c>
      <c r="V25" t="str">
        <f>TEXT(tbl_daily[[#This Row],[Date]],"dddd")</f>
        <v>Sunday</v>
      </c>
      <c r="W25" t="str">
        <f t="shared" si="0"/>
        <v>Loss</v>
      </c>
      <c r="X25">
        <f t="shared" si="1"/>
        <v>18.536983154670729</v>
      </c>
      <c r="Y25">
        <f t="shared" si="2"/>
        <v>-0.605436447166944</v>
      </c>
    </row>
    <row r="26" spans="1:25">
      <c r="A26" s="3">
        <v>44921</v>
      </c>
      <c r="B26" s="1">
        <v>7604.17</v>
      </c>
      <c r="C26" s="1">
        <v>7640</v>
      </c>
      <c r="D26" s="1">
        <v>35.829999999999927</v>
      </c>
      <c r="E26" s="1">
        <v>2245.4499999999998</v>
      </c>
      <c r="F26" s="1">
        <v>3990</v>
      </c>
      <c r="G26" s="1">
        <v>1744.5500000000002</v>
      </c>
      <c r="H26" s="1">
        <v>275.15000000000003</v>
      </c>
      <c r="I26" s="1">
        <v>970</v>
      </c>
      <c r="J26" s="1">
        <v>694.84999999999991</v>
      </c>
      <c r="K26" s="1">
        <v>564.16666666666663</v>
      </c>
      <c r="L26" s="1">
        <v>740</v>
      </c>
      <c r="M26" s="1">
        <v>175.83333333333337</v>
      </c>
      <c r="N26" s="1">
        <v>2100</v>
      </c>
      <c r="O26" s="1">
        <v>13340</v>
      </c>
      <c r="P26" s="1">
        <v>2651.0633333333335</v>
      </c>
      <c r="Q26" s="1">
        <v>551.0633333333335</v>
      </c>
      <c r="R26">
        <f>YEAR(tbl_daily[[#This Row],[Date]])</f>
        <v>2022</v>
      </c>
      <c r="S26" t="str">
        <f>TEXT(tbl_daily[[#This Row],[Date]],"mmmm")</f>
        <v>December</v>
      </c>
      <c r="T26">
        <f>MONTH(tbl_daily[[#This Row],[Date]])</f>
        <v>12</v>
      </c>
      <c r="U26" t="str">
        <f>"Q"&amp;ROUNDUP(MONTH(tbl_daily[[#This Row],[Date]])/3,0)</f>
        <v>Q4</v>
      </c>
      <c r="V26" t="str">
        <f>TEXT(tbl_daily[[#This Row],[Date]],"dddd")</f>
        <v>Monday</v>
      </c>
      <c r="W26" t="str">
        <f t="shared" si="0"/>
        <v>Profitable</v>
      </c>
      <c r="X26">
        <f t="shared" si="1"/>
        <v>19.873038480759622</v>
      </c>
      <c r="Y26">
        <f t="shared" si="2"/>
        <v>4.1309095452273876</v>
      </c>
    </row>
    <row r="27" spans="1:25">
      <c r="A27" s="3">
        <v>44922</v>
      </c>
      <c r="B27" s="1">
        <v>7111.335</v>
      </c>
      <c r="C27" s="1">
        <v>6810</v>
      </c>
      <c r="D27" s="1">
        <v>-301.33500000000004</v>
      </c>
      <c r="E27" s="1">
        <v>1130.6500000000001</v>
      </c>
      <c r="F27" s="1">
        <v>2100</v>
      </c>
      <c r="G27" s="1">
        <v>969.35000000000014</v>
      </c>
      <c r="H27" s="1">
        <v>245</v>
      </c>
      <c r="I27" s="1">
        <v>1330</v>
      </c>
      <c r="J27" s="1">
        <v>1085</v>
      </c>
      <c r="K27" s="1">
        <v>1186.6666666666663</v>
      </c>
      <c r="L27" s="1">
        <v>1570</v>
      </c>
      <c r="M27" s="1">
        <v>383.33333333333343</v>
      </c>
      <c r="N27" s="1">
        <v>2100</v>
      </c>
      <c r="O27" s="1">
        <v>11810</v>
      </c>
      <c r="P27" s="1">
        <v>2136.3483333333338</v>
      </c>
      <c r="Q27" s="1">
        <v>36.348333333333358</v>
      </c>
      <c r="R27">
        <f>YEAR(tbl_daily[[#This Row],[Date]])</f>
        <v>2022</v>
      </c>
      <c r="S27" t="str">
        <f>TEXT(tbl_daily[[#This Row],[Date]],"mmmm")</f>
        <v>December</v>
      </c>
      <c r="T27">
        <f>MONTH(tbl_daily[[#This Row],[Date]])</f>
        <v>12</v>
      </c>
      <c r="U27" t="str">
        <f>"Q"&amp;ROUNDUP(MONTH(tbl_daily[[#This Row],[Date]])/3,0)</f>
        <v>Q4</v>
      </c>
      <c r="V27" t="str">
        <f>TEXT(tbl_daily[[#This Row],[Date]],"dddd")</f>
        <v>Tuesday</v>
      </c>
      <c r="W27" t="str">
        <f t="shared" si="0"/>
        <v>Profitable</v>
      </c>
      <c r="X27">
        <f t="shared" si="1"/>
        <v>18.089316963025688</v>
      </c>
      <c r="Y27">
        <f t="shared" si="2"/>
        <v>0.30777589613322065</v>
      </c>
    </row>
    <row r="28" spans="1:25">
      <c r="A28" s="3">
        <v>44923</v>
      </c>
      <c r="B28" s="1">
        <v>6804.1849999999986</v>
      </c>
      <c r="C28" s="1">
        <v>7980</v>
      </c>
      <c r="D28" s="1">
        <v>1175.8150000000014</v>
      </c>
      <c r="E28" s="1">
        <v>1055.7</v>
      </c>
      <c r="F28" s="1">
        <v>2310</v>
      </c>
      <c r="G28" s="1">
        <v>1254.3</v>
      </c>
      <c r="H28" s="1">
        <v>258</v>
      </c>
      <c r="I28" s="1">
        <v>720</v>
      </c>
      <c r="J28" s="1">
        <v>462</v>
      </c>
      <c r="K28" s="1">
        <v>494.16666666666663</v>
      </c>
      <c r="L28" s="1">
        <v>670</v>
      </c>
      <c r="M28" s="1">
        <v>175.83333333333337</v>
      </c>
      <c r="N28" s="1">
        <v>2100</v>
      </c>
      <c r="O28" s="1">
        <v>11680</v>
      </c>
      <c r="P28" s="1">
        <v>3067.9483333333351</v>
      </c>
      <c r="Q28" s="1">
        <v>967.94833333333509</v>
      </c>
      <c r="R28">
        <f>YEAR(tbl_daily[[#This Row],[Date]])</f>
        <v>2022</v>
      </c>
      <c r="S28" t="str">
        <f>TEXT(tbl_daily[[#This Row],[Date]],"mmmm")</f>
        <v>December</v>
      </c>
      <c r="T28">
        <f>MONTH(tbl_daily[[#This Row],[Date]])</f>
        <v>12</v>
      </c>
      <c r="U28" t="str">
        <f>"Q"&amp;ROUNDUP(MONTH(tbl_daily[[#This Row],[Date]])/3,0)</f>
        <v>Q4</v>
      </c>
      <c r="V28" t="str">
        <f>TEXT(tbl_daily[[#This Row],[Date]],"dddd")</f>
        <v>Wednesday</v>
      </c>
      <c r="W28" t="str">
        <f t="shared" si="0"/>
        <v>Profitable</v>
      </c>
      <c r="X28">
        <f t="shared" si="1"/>
        <v>26.266680936073072</v>
      </c>
      <c r="Y28">
        <f t="shared" si="2"/>
        <v>8.2872288812785531</v>
      </c>
    </row>
    <row r="29" spans="1:25">
      <c r="A29" s="3">
        <v>44924</v>
      </c>
      <c r="B29" s="1">
        <v>5412.44</v>
      </c>
      <c r="C29" s="1">
        <v>8410</v>
      </c>
      <c r="D29" s="1">
        <v>2997.5600000000004</v>
      </c>
      <c r="E29" s="1">
        <v>1068.8499999999999</v>
      </c>
      <c r="F29" s="1">
        <v>1470</v>
      </c>
      <c r="G29" s="1">
        <v>401.14999999999986</v>
      </c>
      <c r="H29" s="1">
        <v>174</v>
      </c>
      <c r="I29" s="1">
        <v>860</v>
      </c>
      <c r="J29" s="1">
        <v>686</v>
      </c>
      <c r="K29" s="1">
        <v>453.33333333333337</v>
      </c>
      <c r="L29" s="1">
        <v>670</v>
      </c>
      <c r="M29" s="1">
        <v>216.66666666666663</v>
      </c>
      <c r="N29" s="1">
        <v>2100</v>
      </c>
      <c r="O29" s="1">
        <v>11410</v>
      </c>
      <c r="P29" s="1">
        <v>4301.376666666667</v>
      </c>
      <c r="Q29" s="1">
        <v>2201.376666666667</v>
      </c>
      <c r="R29">
        <f>YEAR(tbl_daily[[#This Row],[Date]])</f>
        <v>2022</v>
      </c>
      <c r="S29" t="str">
        <f>TEXT(tbl_daily[[#This Row],[Date]],"mmmm")</f>
        <v>December</v>
      </c>
      <c r="T29">
        <f>MONTH(tbl_daily[[#This Row],[Date]])</f>
        <v>12</v>
      </c>
      <c r="U29" t="str">
        <f>"Q"&amp;ROUNDUP(MONTH(tbl_daily[[#This Row],[Date]])/3,0)</f>
        <v>Q4</v>
      </c>
      <c r="V29" t="str">
        <f>TEXT(tbl_daily[[#This Row],[Date]],"dddd")</f>
        <v>Thursday</v>
      </c>
      <c r="W29" t="str">
        <f t="shared" si="0"/>
        <v>Profitable</v>
      </c>
      <c r="X29">
        <f t="shared" si="1"/>
        <v>37.698305579900676</v>
      </c>
      <c r="Y29">
        <f t="shared" si="2"/>
        <v>19.29339760444055</v>
      </c>
    </row>
    <row r="30" spans="1:25">
      <c r="A30" s="3">
        <v>44925</v>
      </c>
      <c r="B30" s="1">
        <v>8308.27</v>
      </c>
      <c r="C30" s="1">
        <v>7820</v>
      </c>
      <c r="D30" s="1">
        <v>-488.27000000000049</v>
      </c>
      <c r="E30" s="1">
        <v>952.45</v>
      </c>
      <c r="F30" s="1">
        <v>1470</v>
      </c>
      <c r="G30" s="1">
        <v>517.55000000000007</v>
      </c>
      <c r="H30" s="1">
        <v>181.31999999999996</v>
      </c>
      <c r="I30" s="1">
        <v>550</v>
      </c>
      <c r="J30" s="1">
        <v>368.68000000000006</v>
      </c>
      <c r="K30" s="1">
        <v>316.66666666666669</v>
      </c>
      <c r="L30" s="1">
        <v>430</v>
      </c>
      <c r="M30" s="1">
        <v>113.33333333333331</v>
      </c>
      <c r="N30" s="1">
        <v>2100</v>
      </c>
      <c r="O30" s="1">
        <v>10270</v>
      </c>
      <c r="P30" s="1">
        <v>511.29333333333307</v>
      </c>
      <c r="Q30" s="1">
        <v>-1588.7066666666667</v>
      </c>
      <c r="R30">
        <f>YEAR(tbl_daily[[#This Row],[Date]])</f>
        <v>2022</v>
      </c>
      <c r="S30" t="str">
        <f>TEXT(tbl_daily[[#This Row],[Date]],"mmmm")</f>
        <v>December</v>
      </c>
      <c r="T30">
        <f>MONTH(tbl_daily[[#This Row],[Date]])</f>
        <v>12</v>
      </c>
      <c r="U30" t="str">
        <f>"Q"&amp;ROUNDUP(MONTH(tbl_daily[[#This Row],[Date]])/3,0)</f>
        <v>Q4</v>
      </c>
      <c r="V30" t="str">
        <f>TEXT(tbl_daily[[#This Row],[Date]],"dddd")</f>
        <v>Friday</v>
      </c>
      <c r="W30" t="str">
        <f t="shared" si="0"/>
        <v>Loss</v>
      </c>
      <c r="X30">
        <f t="shared" si="1"/>
        <v>4.9785134696527074</v>
      </c>
      <c r="Y30">
        <f t="shared" si="2"/>
        <v>-15.469393054203181</v>
      </c>
    </row>
    <row r="31" spans="1:25">
      <c r="A31" s="3">
        <v>44926</v>
      </c>
      <c r="B31" s="1">
        <v>6860.2300000000014</v>
      </c>
      <c r="C31" s="1">
        <v>8835</v>
      </c>
      <c r="D31" s="1">
        <v>1974.7699999999984</v>
      </c>
      <c r="E31" s="1">
        <v>2586.7000000000003</v>
      </c>
      <c r="F31" s="1">
        <v>5880</v>
      </c>
      <c r="G31" s="1">
        <v>3293.2999999999997</v>
      </c>
      <c r="H31" s="1">
        <v>303.83000000000004</v>
      </c>
      <c r="I31" s="1">
        <v>1580</v>
      </c>
      <c r="J31" s="1">
        <v>1276.17</v>
      </c>
      <c r="K31" s="1">
        <v>559.16666666666663</v>
      </c>
      <c r="L31" s="1">
        <v>760</v>
      </c>
      <c r="M31" s="1">
        <v>200.83333333333337</v>
      </c>
      <c r="N31" s="1">
        <v>2100</v>
      </c>
      <c r="O31" s="1">
        <v>17055</v>
      </c>
      <c r="P31" s="1">
        <v>6745.073333333331</v>
      </c>
      <c r="Q31" s="1">
        <v>4645.073333333331</v>
      </c>
      <c r="R31">
        <f>YEAR(tbl_daily[[#This Row],[Date]])</f>
        <v>2022</v>
      </c>
      <c r="S31" t="str">
        <f>TEXT(tbl_daily[[#This Row],[Date]],"mmmm")</f>
        <v>December</v>
      </c>
      <c r="T31">
        <f>MONTH(tbl_daily[[#This Row],[Date]])</f>
        <v>12</v>
      </c>
      <c r="U31" t="str">
        <f>"Q"&amp;ROUNDUP(MONTH(tbl_daily[[#This Row],[Date]])/3,0)</f>
        <v>Q4</v>
      </c>
      <c r="V31" t="str">
        <f>TEXT(tbl_daily[[#This Row],[Date]],"dddd")</f>
        <v>Saturday</v>
      </c>
      <c r="W31" t="str">
        <f t="shared" si="0"/>
        <v>Profitable</v>
      </c>
      <c r="X31">
        <f t="shared" si="1"/>
        <v>39.548949477181658</v>
      </c>
      <c r="Y31">
        <f t="shared" si="2"/>
        <v>27.235844815792031</v>
      </c>
    </row>
    <row r="32" spans="1:25">
      <c r="A32" s="3">
        <v>44927</v>
      </c>
      <c r="B32" s="1">
        <v>7314.2470000000003</v>
      </c>
      <c r="C32" s="1">
        <v>10130</v>
      </c>
      <c r="D32" s="1">
        <v>2815.7530000000006</v>
      </c>
      <c r="E32" s="1">
        <v>1446.35</v>
      </c>
      <c r="F32" s="1">
        <v>2730</v>
      </c>
      <c r="G32" s="1">
        <v>1283.6500000000001</v>
      </c>
      <c r="H32" s="1">
        <v>118</v>
      </c>
      <c r="I32" s="1">
        <v>370</v>
      </c>
      <c r="J32" s="1">
        <v>252</v>
      </c>
      <c r="K32" s="1">
        <v>408.33333333333337</v>
      </c>
      <c r="L32" s="1">
        <v>520</v>
      </c>
      <c r="M32" s="1">
        <v>111.66666666666664</v>
      </c>
      <c r="N32" s="1">
        <v>2100</v>
      </c>
      <c r="O32" s="1">
        <v>13750</v>
      </c>
      <c r="P32" s="1">
        <v>4463.0696666666672</v>
      </c>
      <c r="Q32" s="1">
        <v>2363.0696666666672</v>
      </c>
      <c r="R32">
        <f>YEAR(tbl_daily[[#This Row],[Date]])</f>
        <v>2023</v>
      </c>
      <c r="S32" t="str">
        <f>TEXT(tbl_daily[[#This Row],[Date]],"mmmm")</f>
        <v>January</v>
      </c>
      <c r="T32">
        <f>MONTH(tbl_daily[[#This Row],[Date]])</f>
        <v>1</v>
      </c>
      <c r="U32" t="str">
        <f>"Q"&amp;ROUNDUP(MONTH(tbl_daily[[#This Row],[Date]])/3,0)</f>
        <v>Q1</v>
      </c>
      <c r="V32" t="str">
        <f>TEXT(tbl_daily[[#This Row],[Date]],"dddd")</f>
        <v>Sunday</v>
      </c>
      <c r="W32" t="str">
        <f t="shared" si="0"/>
        <v>Profitable</v>
      </c>
      <c r="X32">
        <f t="shared" si="1"/>
        <v>32.458688484848494</v>
      </c>
      <c r="Y32">
        <f t="shared" si="2"/>
        <v>17.185961212121217</v>
      </c>
    </row>
    <row r="33" spans="1:25">
      <c r="A33" s="3">
        <v>44928</v>
      </c>
      <c r="B33" s="1">
        <v>7365.0879999999997</v>
      </c>
      <c r="C33" s="1">
        <v>9800</v>
      </c>
      <c r="D33" s="1">
        <v>2434.9119999999994</v>
      </c>
      <c r="E33" s="1">
        <v>2228.8249999999998</v>
      </c>
      <c r="F33" s="1">
        <v>3990</v>
      </c>
      <c r="G33" s="1">
        <v>1761.1750000000002</v>
      </c>
      <c r="H33" s="1">
        <v>232.49</v>
      </c>
      <c r="I33" s="1">
        <v>500</v>
      </c>
      <c r="J33" s="1">
        <v>267.51</v>
      </c>
      <c r="K33" s="1">
        <v>810.83333333333326</v>
      </c>
      <c r="L33" s="1">
        <v>1010</v>
      </c>
      <c r="M33" s="1">
        <v>199.16666666666671</v>
      </c>
      <c r="N33" s="1">
        <v>2100</v>
      </c>
      <c r="O33" s="1">
        <v>15300</v>
      </c>
      <c r="P33" s="1">
        <v>4662.7636666666667</v>
      </c>
      <c r="Q33" s="1">
        <v>2562.7636666666667</v>
      </c>
      <c r="R33">
        <f>YEAR(tbl_daily[[#This Row],[Date]])</f>
        <v>2023</v>
      </c>
      <c r="S33" t="str">
        <f>TEXT(tbl_daily[[#This Row],[Date]],"mmmm")</f>
        <v>January</v>
      </c>
      <c r="T33">
        <f>MONTH(tbl_daily[[#This Row],[Date]])</f>
        <v>1</v>
      </c>
      <c r="U33" t="str">
        <f>"Q"&amp;ROUNDUP(MONTH(tbl_daily[[#This Row],[Date]])/3,0)</f>
        <v>Q1</v>
      </c>
      <c r="V33" t="str">
        <f>TEXT(tbl_daily[[#This Row],[Date]],"dddd")</f>
        <v>Monday</v>
      </c>
      <c r="W33" t="str">
        <f t="shared" si="0"/>
        <v>Profitable</v>
      </c>
      <c r="X33">
        <f t="shared" si="1"/>
        <v>30.475579520697167</v>
      </c>
      <c r="Y33">
        <f t="shared" si="2"/>
        <v>16.750089324618735</v>
      </c>
    </row>
    <row r="34" spans="1:25">
      <c r="A34" s="3">
        <v>44929</v>
      </c>
      <c r="B34" s="1">
        <v>6225.1050000000005</v>
      </c>
      <c r="C34" s="1">
        <v>8020</v>
      </c>
      <c r="D34" s="1">
        <v>1794.8949999999995</v>
      </c>
      <c r="E34" s="1">
        <v>790.57500000000005</v>
      </c>
      <c r="F34" s="1">
        <v>840</v>
      </c>
      <c r="G34" s="1">
        <v>49.424999999999955</v>
      </c>
      <c r="H34" s="1">
        <v>367.49</v>
      </c>
      <c r="I34" s="1">
        <v>1390</v>
      </c>
      <c r="J34" s="1">
        <v>1022.51</v>
      </c>
      <c r="K34" s="1">
        <v>490.83333333333326</v>
      </c>
      <c r="L34" s="1">
        <v>600</v>
      </c>
      <c r="M34" s="1">
        <v>109.16666666666669</v>
      </c>
      <c r="N34" s="1">
        <v>2500</v>
      </c>
      <c r="O34" s="1">
        <v>10850</v>
      </c>
      <c r="P34" s="1">
        <v>2975.9966666666664</v>
      </c>
      <c r="Q34" s="1">
        <v>475.99666666666639</v>
      </c>
      <c r="R34">
        <f>YEAR(tbl_daily[[#This Row],[Date]])</f>
        <v>2023</v>
      </c>
      <c r="S34" t="str">
        <f>TEXT(tbl_daily[[#This Row],[Date]],"mmmm")</f>
        <v>January</v>
      </c>
      <c r="T34">
        <f>MONTH(tbl_daily[[#This Row],[Date]])</f>
        <v>1</v>
      </c>
      <c r="U34" t="str">
        <f>"Q"&amp;ROUNDUP(MONTH(tbl_daily[[#This Row],[Date]])/3,0)</f>
        <v>Q1</v>
      </c>
      <c r="V34" t="str">
        <f>TEXT(tbl_daily[[#This Row],[Date]],"dddd")</f>
        <v>Tuesday</v>
      </c>
      <c r="W34" t="str">
        <f t="shared" si="0"/>
        <v>Profitable</v>
      </c>
      <c r="X34">
        <f t="shared" si="1"/>
        <v>27.428540706605219</v>
      </c>
      <c r="Y34">
        <f t="shared" si="2"/>
        <v>4.3870660522273397</v>
      </c>
    </row>
    <row r="35" spans="1:25">
      <c r="A35" s="3">
        <v>44930</v>
      </c>
      <c r="B35" s="1">
        <v>5817.6450000000004</v>
      </c>
      <c r="C35" s="1">
        <v>10030</v>
      </c>
      <c r="D35" s="1">
        <v>4212.3549999999996</v>
      </c>
      <c r="E35" s="1">
        <v>2348.7249999999999</v>
      </c>
      <c r="F35" s="1">
        <v>3990</v>
      </c>
      <c r="G35" s="1">
        <v>1641.2750000000001</v>
      </c>
      <c r="H35" s="1">
        <v>314</v>
      </c>
      <c r="I35" s="1">
        <v>1210</v>
      </c>
      <c r="J35" s="1">
        <v>896</v>
      </c>
      <c r="K35" s="1">
        <v>530.83333333333337</v>
      </c>
      <c r="L35" s="1">
        <v>660</v>
      </c>
      <c r="M35" s="1">
        <v>129.16666666666663</v>
      </c>
      <c r="N35" s="1">
        <v>2500</v>
      </c>
      <c r="O35" s="1">
        <v>15890</v>
      </c>
      <c r="P35" s="1">
        <v>6878.7966666666662</v>
      </c>
      <c r="Q35" s="1">
        <v>4378.7966666666662</v>
      </c>
      <c r="R35">
        <f>YEAR(tbl_daily[[#This Row],[Date]])</f>
        <v>2023</v>
      </c>
      <c r="S35" t="str">
        <f>TEXT(tbl_daily[[#This Row],[Date]],"mmmm")</f>
        <v>January</v>
      </c>
      <c r="T35">
        <f>MONTH(tbl_daily[[#This Row],[Date]])</f>
        <v>1</v>
      </c>
      <c r="U35" t="str">
        <f>"Q"&amp;ROUNDUP(MONTH(tbl_daily[[#This Row],[Date]])/3,0)</f>
        <v>Q1</v>
      </c>
      <c r="V35" t="str">
        <f>TEXT(tbl_daily[[#This Row],[Date]],"dddd")</f>
        <v>Wednesday</v>
      </c>
      <c r="W35" t="str">
        <f t="shared" si="0"/>
        <v>Profitable</v>
      </c>
      <c r="X35">
        <f t="shared" si="1"/>
        <v>43.290098594503881</v>
      </c>
      <c r="Y35">
        <f t="shared" si="2"/>
        <v>27.556933081602679</v>
      </c>
    </row>
    <row r="36" spans="1:25">
      <c r="A36" s="3">
        <v>44931</v>
      </c>
      <c r="B36" s="1">
        <v>5741.0699999999988</v>
      </c>
      <c r="C36" s="1">
        <v>6975</v>
      </c>
      <c r="D36" s="1">
        <v>1233.9300000000012</v>
      </c>
      <c r="E36" s="1">
        <v>3265.3999999999996</v>
      </c>
      <c r="F36" s="1">
        <v>5670</v>
      </c>
      <c r="G36" s="1">
        <v>2404.6000000000004</v>
      </c>
      <c r="H36" s="1">
        <v>321.66000000000003</v>
      </c>
      <c r="I36" s="1">
        <v>1440</v>
      </c>
      <c r="J36" s="1">
        <v>1118.3399999999999</v>
      </c>
      <c r="K36" s="1">
        <v>510.00000000000006</v>
      </c>
      <c r="L36" s="1">
        <v>630</v>
      </c>
      <c r="M36" s="1">
        <v>119.99999999999994</v>
      </c>
      <c r="N36" s="1">
        <v>2500</v>
      </c>
      <c r="O36" s="1">
        <v>14715</v>
      </c>
      <c r="P36" s="1">
        <v>4876.8700000000017</v>
      </c>
      <c r="Q36" s="1">
        <v>2376.8700000000017</v>
      </c>
      <c r="R36">
        <f>YEAR(tbl_daily[[#This Row],[Date]])</f>
        <v>2023</v>
      </c>
      <c r="S36" t="str">
        <f>TEXT(tbl_daily[[#This Row],[Date]],"mmmm")</f>
        <v>January</v>
      </c>
      <c r="T36">
        <f>MONTH(tbl_daily[[#This Row],[Date]])</f>
        <v>1</v>
      </c>
      <c r="U36" t="str">
        <f>"Q"&amp;ROUNDUP(MONTH(tbl_daily[[#This Row],[Date]])/3,0)</f>
        <v>Q1</v>
      </c>
      <c r="V36" t="str">
        <f>TEXT(tbl_daily[[#This Row],[Date]],"dddd")</f>
        <v>Thursday</v>
      </c>
      <c r="W36" t="str">
        <f t="shared" si="0"/>
        <v>Profitable</v>
      </c>
      <c r="X36">
        <f t="shared" si="1"/>
        <v>33.14216785592933</v>
      </c>
      <c r="Y36">
        <f t="shared" si="2"/>
        <v>16.152701325178402</v>
      </c>
    </row>
    <row r="37" spans="1:25">
      <c r="A37" s="3">
        <v>44932</v>
      </c>
      <c r="B37" s="1">
        <v>6172.9800000000014</v>
      </c>
      <c r="C37" s="1">
        <v>9340</v>
      </c>
      <c r="D37" s="1">
        <v>3167.0199999999986</v>
      </c>
      <c r="E37" s="1">
        <v>2287.5999999999995</v>
      </c>
      <c r="F37" s="1">
        <v>3090</v>
      </c>
      <c r="G37" s="1">
        <v>802.40000000000043</v>
      </c>
      <c r="H37" s="1">
        <v>322</v>
      </c>
      <c r="I37" s="1">
        <v>1770</v>
      </c>
      <c r="J37" s="1">
        <v>1448</v>
      </c>
      <c r="K37" s="1">
        <v>729.16666666666674</v>
      </c>
      <c r="L37" s="1">
        <v>910</v>
      </c>
      <c r="M37" s="1">
        <v>180.83333333333329</v>
      </c>
      <c r="N37" s="1">
        <v>2500</v>
      </c>
      <c r="O37" s="1">
        <v>15110</v>
      </c>
      <c r="P37" s="1">
        <v>5598.2533333333322</v>
      </c>
      <c r="Q37" s="1">
        <v>3098.2533333333322</v>
      </c>
      <c r="R37">
        <f>YEAR(tbl_daily[[#This Row],[Date]])</f>
        <v>2023</v>
      </c>
      <c r="S37" t="str">
        <f>TEXT(tbl_daily[[#This Row],[Date]],"mmmm")</f>
        <v>January</v>
      </c>
      <c r="T37">
        <f>MONTH(tbl_daily[[#This Row],[Date]])</f>
        <v>1</v>
      </c>
      <c r="U37" t="str">
        <f>"Q"&amp;ROUNDUP(MONTH(tbl_daily[[#This Row],[Date]])/3,0)</f>
        <v>Q1</v>
      </c>
      <c r="V37" t="str">
        <f>TEXT(tbl_daily[[#This Row],[Date]],"dddd")</f>
        <v>Friday</v>
      </c>
      <c r="W37" t="str">
        <f t="shared" si="0"/>
        <v>Profitable</v>
      </c>
      <c r="X37">
        <f t="shared" si="1"/>
        <v>37.049988969777182</v>
      </c>
      <c r="Y37">
        <f t="shared" si="2"/>
        <v>20.504654754026024</v>
      </c>
    </row>
    <row r="38" spans="1:25">
      <c r="A38" s="3">
        <v>44933</v>
      </c>
      <c r="B38" s="1">
        <v>7421.8499999999967</v>
      </c>
      <c r="C38" s="1">
        <v>10400</v>
      </c>
      <c r="D38" s="1">
        <v>2978.1500000000024</v>
      </c>
      <c r="E38" s="1">
        <v>3412.1499999999996</v>
      </c>
      <c r="F38" s="1">
        <v>5820</v>
      </c>
      <c r="G38" s="1">
        <v>2407.8500000000004</v>
      </c>
      <c r="H38" s="1">
        <v>202</v>
      </c>
      <c r="I38" s="1">
        <v>980</v>
      </c>
      <c r="J38" s="1">
        <v>778</v>
      </c>
      <c r="K38" s="1">
        <v>810</v>
      </c>
      <c r="L38" s="1">
        <v>1000</v>
      </c>
      <c r="M38" s="1">
        <v>190</v>
      </c>
      <c r="N38" s="1">
        <v>2500</v>
      </c>
      <c r="O38" s="1">
        <v>18200</v>
      </c>
      <c r="P38" s="1">
        <v>6354.0000000000027</v>
      </c>
      <c r="Q38" s="1">
        <v>3854.0000000000023</v>
      </c>
      <c r="R38">
        <f>YEAR(tbl_daily[[#This Row],[Date]])</f>
        <v>2023</v>
      </c>
      <c r="S38" t="str">
        <f>TEXT(tbl_daily[[#This Row],[Date]],"mmmm")</f>
        <v>January</v>
      </c>
      <c r="T38">
        <f>MONTH(tbl_daily[[#This Row],[Date]])</f>
        <v>1</v>
      </c>
      <c r="U38" t="str">
        <f>"Q"&amp;ROUNDUP(MONTH(tbl_daily[[#This Row],[Date]])/3,0)</f>
        <v>Q1</v>
      </c>
      <c r="V38" t="str">
        <f>TEXT(tbl_daily[[#This Row],[Date]],"dddd")</f>
        <v>Saturday</v>
      </c>
      <c r="W38" t="str">
        <f t="shared" si="0"/>
        <v>Profitable</v>
      </c>
      <c r="X38">
        <f t="shared" si="1"/>
        <v>34.912087912087927</v>
      </c>
      <c r="Y38">
        <f t="shared" si="2"/>
        <v>21.175824175824186</v>
      </c>
    </row>
    <row r="39" spans="1:25">
      <c r="A39" s="3">
        <v>44934</v>
      </c>
      <c r="B39" s="1">
        <v>5358.5650000000014</v>
      </c>
      <c r="C39" s="1">
        <v>8580</v>
      </c>
      <c r="D39" s="1">
        <v>3221.4349999999986</v>
      </c>
      <c r="E39" s="1">
        <v>2638.2</v>
      </c>
      <c r="F39" s="1">
        <v>4350</v>
      </c>
      <c r="G39" s="1">
        <v>1711.8000000000002</v>
      </c>
      <c r="H39" s="1">
        <v>294.81000000000006</v>
      </c>
      <c r="I39" s="1">
        <v>970</v>
      </c>
      <c r="J39" s="1">
        <v>675.18999999999994</v>
      </c>
      <c r="K39" s="1">
        <v>884.99999999999989</v>
      </c>
      <c r="L39" s="1">
        <v>1100</v>
      </c>
      <c r="M39" s="1">
        <v>215.00000000000011</v>
      </c>
      <c r="N39" s="1">
        <v>2500</v>
      </c>
      <c r="O39" s="1">
        <v>15000</v>
      </c>
      <c r="P39" s="1">
        <v>5823.4249999999984</v>
      </c>
      <c r="Q39" s="1">
        <v>3323.4249999999984</v>
      </c>
      <c r="R39">
        <f>YEAR(tbl_daily[[#This Row],[Date]])</f>
        <v>2023</v>
      </c>
      <c r="S39" t="str">
        <f>TEXT(tbl_daily[[#This Row],[Date]],"mmmm")</f>
        <v>January</v>
      </c>
      <c r="T39">
        <f>MONTH(tbl_daily[[#This Row],[Date]])</f>
        <v>1</v>
      </c>
      <c r="U39" t="str">
        <f>"Q"&amp;ROUNDUP(MONTH(tbl_daily[[#This Row],[Date]])/3,0)</f>
        <v>Q1</v>
      </c>
      <c r="V39" t="str">
        <f>TEXT(tbl_daily[[#This Row],[Date]],"dddd")</f>
        <v>Sunday</v>
      </c>
      <c r="W39" t="str">
        <f t="shared" si="0"/>
        <v>Profitable</v>
      </c>
      <c r="X39">
        <f t="shared" si="1"/>
        <v>38.822833333333321</v>
      </c>
      <c r="Y39">
        <f t="shared" si="2"/>
        <v>22.156166666666653</v>
      </c>
    </row>
    <row r="40" spans="1:25">
      <c r="A40" s="3">
        <v>44935</v>
      </c>
      <c r="B40" s="1">
        <v>5144.9779999999992</v>
      </c>
      <c r="C40" s="1">
        <v>6040</v>
      </c>
      <c r="D40" s="1">
        <v>895.02200000000084</v>
      </c>
      <c r="E40" s="1">
        <v>2063.15</v>
      </c>
      <c r="F40" s="1">
        <v>3510</v>
      </c>
      <c r="G40" s="1">
        <v>1446.85</v>
      </c>
      <c r="H40" s="1">
        <v>90</v>
      </c>
      <c r="I40" s="1">
        <v>250</v>
      </c>
      <c r="J40" s="1">
        <v>160</v>
      </c>
      <c r="K40" s="1">
        <v>374.16666666666674</v>
      </c>
      <c r="L40" s="1">
        <v>470</v>
      </c>
      <c r="M40" s="1">
        <v>95.833333333333314</v>
      </c>
      <c r="N40" s="1">
        <v>2500</v>
      </c>
      <c r="O40" s="1">
        <v>10270</v>
      </c>
      <c r="P40" s="1">
        <v>2597.7053333333342</v>
      </c>
      <c r="Q40" s="1">
        <v>97.705333333334238</v>
      </c>
      <c r="R40">
        <f>YEAR(tbl_daily[[#This Row],[Date]])</f>
        <v>2023</v>
      </c>
      <c r="S40" t="str">
        <f>TEXT(tbl_daily[[#This Row],[Date]],"mmmm")</f>
        <v>January</v>
      </c>
      <c r="T40">
        <f>MONTH(tbl_daily[[#This Row],[Date]])</f>
        <v>1</v>
      </c>
      <c r="U40" t="str">
        <f>"Q"&amp;ROUNDUP(MONTH(tbl_daily[[#This Row],[Date]])/3,0)</f>
        <v>Q1</v>
      </c>
      <c r="V40" t="str">
        <f>TEXT(tbl_daily[[#This Row],[Date]],"dddd")</f>
        <v>Monday</v>
      </c>
      <c r="W40" t="str">
        <f t="shared" si="0"/>
        <v>Profitable</v>
      </c>
      <c r="X40">
        <f t="shared" si="1"/>
        <v>25.294112301200915</v>
      </c>
      <c r="Y40">
        <f t="shared" si="2"/>
        <v>0.95136643946771415</v>
      </c>
    </row>
    <row r="41" spans="1:25">
      <c r="A41" s="3">
        <v>44936</v>
      </c>
      <c r="B41" s="1">
        <v>6131.4420000000018</v>
      </c>
      <c r="C41" s="1">
        <v>9070</v>
      </c>
      <c r="D41" s="1">
        <v>2938.5579999999982</v>
      </c>
      <c r="E41" s="1">
        <v>2943.45</v>
      </c>
      <c r="F41" s="1">
        <v>5250</v>
      </c>
      <c r="G41" s="1">
        <v>2306.5500000000002</v>
      </c>
      <c r="H41" s="1">
        <v>350.99599999999998</v>
      </c>
      <c r="I41" s="1">
        <v>720</v>
      </c>
      <c r="J41" s="1">
        <v>369.00400000000002</v>
      </c>
      <c r="K41" s="1">
        <v>695</v>
      </c>
      <c r="L41" s="1">
        <v>860</v>
      </c>
      <c r="M41" s="1">
        <v>165</v>
      </c>
      <c r="N41" s="1">
        <v>2500</v>
      </c>
      <c r="O41" s="1">
        <v>15900</v>
      </c>
      <c r="P41" s="1">
        <v>5779.1119999999983</v>
      </c>
      <c r="Q41" s="1">
        <v>3279.1119999999983</v>
      </c>
      <c r="R41">
        <f>YEAR(tbl_daily[[#This Row],[Date]])</f>
        <v>2023</v>
      </c>
      <c r="S41" t="str">
        <f>TEXT(tbl_daily[[#This Row],[Date]],"mmmm")</f>
        <v>January</v>
      </c>
      <c r="T41">
        <f>MONTH(tbl_daily[[#This Row],[Date]])</f>
        <v>1</v>
      </c>
      <c r="U41" t="str">
        <f>"Q"&amp;ROUNDUP(MONTH(tbl_daily[[#This Row],[Date]])/3,0)</f>
        <v>Q1</v>
      </c>
      <c r="V41" t="str">
        <f>TEXT(tbl_daily[[#This Row],[Date]],"dddd")</f>
        <v>Tuesday</v>
      </c>
      <c r="W41" t="str">
        <f t="shared" si="0"/>
        <v>Profitable</v>
      </c>
      <c r="X41">
        <f t="shared" si="1"/>
        <v>36.346616352201245</v>
      </c>
      <c r="Y41">
        <f t="shared" si="2"/>
        <v>20.623345911949677</v>
      </c>
    </row>
    <row r="42" spans="1:25">
      <c r="A42" s="3">
        <v>44937</v>
      </c>
      <c r="B42" s="1">
        <v>4741.4029999999984</v>
      </c>
      <c r="C42" s="1">
        <v>7030</v>
      </c>
      <c r="D42" s="1">
        <v>2288.5970000000016</v>
      </c>
      <c r="E42" s="1">
        <v>1042</v>
      </c>
      <c r="F42" s="1">
        <v>1050</v>
      </c>
      <c r="G42" s="1">
        <v>8</v>
      </c>
      <c r="H42" s="1">
        <v>158</v>
      </c>
      <c r="I42" s="1">
        <v>920</v>
      </c>
      <c r="J42" s="1">
        <v>762</v>
      </c>
      <c r="K42" s="1">
        <v>231.66666666666669</v>
      </c>
      <c r="L42" s="1">
        <v>290</v>
      </c>
      <c r="M42" s="1">
        <v>58.333333333333314</v>
      </c>
      <c r="N42" s="1">
        <v>2500</v>
      </c>
      <c r="O42" s="1">
        <v>9290</v>
      </c>
      <c r="P42" s="1">
        <v>3116.9303333333351</v>
      </c>
      <c r="Q42" s="1">
        <v>616.93033333333506</v>
      </c>
      <c r="R42">
        <f>YEAR(tbl_daily[[#This Row],[Date]])</f>
        <v>2023</v>
      </c>
      <c r="S42" t="str">
        <f>TEXT(tbl_daily[[#This Row],[Date]],"mmmm")</f>
        <v>January</v>
      </c>
      <c r="T42">
        <f>MONTH(tbl_daily[[#This Row],[Date]])</f>
        <v>1</v>
      </c>
      <c r="U42" t="str">
        <f>"Q"&amp;ROUNDUP(MONTH(tbl_daily[[#This Row],[Date]])/3,0)</f>
        <v>Q1</v>
      </c>
      <c r="V42" t="str">
        <f>TEXT(tbl_daily[[#This Row],[Date]],"dddd")</f>
        <v>Wednesday</v>
      </c>
      <c r="W42" t="str">
        <f t="shared" si="0"/>
        <v>Profitable</v>
      </c>
      <c r="X42">
        <f t="shared" si="1"/>
        <v>33.551456763545048</v>
      </c>
      <c r="Y42">
        <f t="shared" si="2"/>
        <v>6.6408001435235207</v>
      </c>
    </row>
    <row r="43" spans="1:25">
      <c r="A43" s="3">
        <v>44938</v>
      </c>
      <c r="B43" s="1">
        <v>5156.2999999999993</v>
      </c>
      <c r="C43" s="1">
        <v>7010</v>
      </c>
      <c r="D43" s="1">
        <v>1853.7000000000007</v>
      </c>
      <c r="E43" s="1">
        <v>1793.4499999999996</v>
      </c>
      <c r="F43" s="1">
        <v>2520</v>
      </c>
      <c r="G43" s="1">
        <v>726.55000000000052</v>
      </c>
      <c r="H43" s="1">
        <v>410.32400000000001</v>
      </c>
      <c r="I43" s="1">
        <v>1080</v>
      </c>
      <c r="J43" s="1">
        <v>669.67599999999993</v>
      </c>
      <c r="K43" s="1">
        <v>585.83333333333337</v>
      </c>
      <c r="L43" s="1">
        <v>720</v>
      </c>
      <c r="M43" s="1">
        <v>134.16666666666663</v>
      </c>
      <c r="N43" s="1">
        <v>2500</v>
      </c>
      <c r="O43" s="1">
        <v>11330</v>
      </c>
      <c r="P43" s="1">
        <v>3384.0926666666674</v>
      </c>
      <c r="Q43" s="1">
        <v>884.09266666666736</v>
      </c>
      <c r="R43">
        <f>YEAR(tbl_daily[[#This Row],[Date]])</f>
        <v>2023</v>
      </c>
      <c r="S43" t="str">
        <f>TEXT(tbl_daily[[#This Row],[Date]],"mmmm")</f>
        <v>January</v>
      </c>
      <c r="T43">
        <f>MONTH(tbl_daily[[#This Row],[Date]])</f>
        <v>1</v>
      </c>
      <c r="U43" t="str">
        <f>"Q"&amp;ROUNDUP(MONTH(tbl_daily[[#This Row],[Date]])/3,0)</f>
        <v>Q1</v>
      </c>
      <c r="V43" t="str">
        <f>TEXT(tbl_daily[[#This Row],[Date]],"dddd")</f>
        <v>Thursday</v>
      </c>
      <c r="W43" t="str">
        <f t="shared" si="0"/>
        <v>Profitable</v>
      </c>
      <c r="X43">
        <f t="shared" si="1"/>
        <v>29.868426007649312</v>
      </c>
      <c r="Y43">
        <f t="shared" si="2"/>
        <v>7.8031126802000657</v>
      </c>
    </row>
    <row r="44" spans="1:25">
      <c r="A44" s="3">
        <v>44939</v>
      </c>
      <c r="B44" s="1">
        <v>4555.5209999999997</v>
      </c>
      <c r="C44" s="1">
        <v>5760</v>
      </c>
      <c r="D44" s="1">
        <v>1204.4790000000005</v>
      </c>
      <c r="E44" s="1">
        <v>1930.55</v>
      </c>
      <c r="F44" s="1">
        <v>2730</v>
      </c>
      <c r="G44" s="1">
        <v>799.45</v>
      </c>
      <c r="H44" s="1">
        <v>58</v>
      </c>
      <c r="I44" s="1">
        <v>370</v>
      </c>
      <c r="J44" s="1">
        <v>312</v>
      </c>
      <c r="K44" s="1">
        <v>197.5</v>
      </c>
      <c r="L44" s="1">
        <v>240</v>
      </c>
      <c r="M44" s="1">
        <v>42.5</v>
      </c>
      <c r="N44" s="1">
        <v>2500</v>
      </c>
      <c r="O44" s="1">
        <v>9100</v>
      </c>
      <c r="P44" s="1">
        <v>2358.4290000000001</v>
      </c>
      <c r="Q44" s="1">
        <v>-141.57099999999991</v>
      </c>
      <c r="R44">
        <f>YEAR(tbl_daily[[#This Row],[Date]])</f>
        <v>2023</v>
      </c>
      <c r="S44" t="str">
        <f>TEXT(tbl_daily[[#This Row],[Date]],"mmmm")</f>
        <v>January</v>
      </c>
      <c r="T44">
        <f>MONTH(tbl_daily[[#This Row],[Date]])</f>
        <v>1</v>
      </c>
      <c r="U44" t="str">
        <f>"Q"&amp;ROUNDUP(MONTH(tbl_daily[[#This Row],[Date]])/3,0)</f>
        <v>Q1</v>
      </c>
      <c r="V44" t="str">
        <f>TEXT(tbl_daily[[#This Row],[Date]],"dddd")</f>
        <v>Friday</v>
      </c>
      <c r="W44" t="str">
        <f t="shared" si="0"/>
        <v>Loss</v>
      </c>
      <c r="X44">
        <f t="shared" si="1"/>
        <v>25.916802197802198</v>
      </c>
      <c r="Y44">
        <f t="shared" si="2"/>
        <v>-1.5557252747252737</v>
      </c>
    </row>
    <row r="45" spans="1:25">
      <c r="A45" s="3">
        <v>44940</v>
      </c>
      <c r="B45" s="1">
        <v>4412.7340000000022</v>
      </c>
      <c r="C45" s="1">
        <v>7750</v>
      </c>
      <c r="D45" s="1">
        <v>3337.2659999999978</v>
      </c>
      <c r="E45" s="1">
        <v>2063.2399999999998</v>
      </c>
      <c r="F45" s="1">
        <v>3360</v>
      </c>
      <c r="G45" s="1">
        <v>1296.7599999999998</v>
      </c>
      <c r="H45" s="1">
        <v>90</v>
      </c>
      <c r="I45" s="1">
        <v>250</v>
      </c>
      <c r="J45" s="1">
        <v>160</v>
      </c>
      <c r="K45" s="1">
        <v>470</v>
      </c>
      <c r="L45" s="1">
        <v>590</v>
      </c>
      <c r="M45" s="1">
        <v>120</v>
      </c>
      <c r="N45" s="1">
        <v>2500</v>
      </c>
      <c r="O45" s="1">
        <v>11950</v>
      </c>
      <c r="P45" s="1">
        <v>4914.025999999998</v>
      </c>
      <c r="Q45" s="1">
        <v>2414.025999999998</v>
      </c>
      <c r="R45">
        <f>YEAR(tbl_daily[[#This Row],[Date]])</f>
        <v>2023</v>
      </c>
      <c r="S45" t="str">
        <f>TEXT(tbl_daily[[#This Row],[Date]],"mmmm")</f>
        <v>January</v>
      </c>
      <c r="T45">
        <f>MONTH(tbl_daily[[#This Row],[Date]])</f>
        <v>1</v>
      </c>
      <c r="U45" t="str">
        <f>"Q"&amp;ROUNDUP(MONTH(tbl_daily[[#This Row],[Date]])/3,0)</f>
        <v>Q1</v>
      </c>
      <c r="V45" t="str">
        <f>TEXT(tbl_daily[[#This Row],[Date]],"dddd")</f>
        <v>Saturday</v>
      </c>
      <c r="W45" t="str">
        <f t="shared" si="0"/>
        <v>Profitable</v>
      </c>
      <c r="X45">
        <f t="shared" si="1"/>
        <v>41.121556485355633</v>
      </c>
      <c r="Y45">
        <f t="shared" si="2"/>
        <v>20.201054393305423</v>
      </c>
    </row>
    <row r="46" spans="1:25">
      <c r="A46" s="3">
        <v>44941</v>
      </c>
      <c r="B46" s="1">
        <v>5717.5509999999995</v>
      </c>
      <c r="C46" s="1">
        <v>8070</v>
      </c>
      <c r="D46" s="1">
        <v>2352.4490000000005</v>
      </c>
      <c r="E46" s="1">
        <v>980.46</v>
      </c>
      <c r="F46" s="1">
        <v>1680</v>
      </c>
      <c r="G46" s="1">
        <v>699.54000000000008</v>
      </c>
      <c r="H46" s="1">
        <v>276.83000000000004</v>
      </c>
      <c r="I46" s="1">
        <v>990</v>
      </c>
      <c r="J46" s="1">
        <v>713.17</v>
      </c>
      <c r="K46" s="1">
        <v>251.66666666666669</v>
      </c>
      <c r="L46" s="1">
        <v>330</v>
      </c>
      <c r="M46" s="1">
        <v>78.333333333333314</v>
      </c>
      <c r="N46" s="1">
        <v>2500</v>
      </c>
      <c r="O46" s="1">
        <v>11070</v>
      </c>
      <c r="P46" s="1">
        <v>3843.492333333334</v>
      </c>
      <c r="Q46" s="1">
        <v>1343.492333333334</v>
      </c>
      <c r="R46">
        <f>YEAR(tbl_daily[[#This Row],[Date]])</f>
        <v>2023</v>
      </c>
      <c r="S46" t="str">
        <f>TEXT(tbl_daily[[#This Row],[Date]],"mmmm")</f>
        <v>January</v>
      </c>
      <c r="T46">
        <f>MONTH(tbl_daily[[#This Row],[Date]])</f>
        <v>1</v>
      </c>
      <c r="U46" t="str">
        <f>"Q"&amp;ROUNDUP(MONTH(tbl_daily[[#This Row],[Date]])/3,0)</f>
        <v>Q1</v>
      </c>
      <c r="V46" t="str">
        <f>TEXT(tbl_daily[[#This Row],[Date]],"dddd")</f>
        <v>Sunday</v>
      </c>
      <c r="W46" t="str">
        <f t="shared" si="0"/>
        <v>Profitable</v>
      </c>
      <c r="X46">
        <f t="shared" si="1"/>
        <v>34.719894610057217</v>
      </c>
      <c r="Y46">
        <f t="shared" si="2"/>
        <v>12.136335441132196</v>
      </c>
    </row>
    <row r="47" spans="1:25">
      <c r="A47" s="3">
        <v>44942</v>
      </c>
      <c r="B47" s="1">
        <v>4671.5300000000016</v>
      </c>
      <c r="C47" s="1">
        <v>8010</v>
      </c>
      <c r="D47" s="1">
        <v>3338.4699999999984</v>
      </c>
      <c r="E47" s="1">
        <v>1973.64</v>
      </c>
      <c r="F47" s="1">
        <v>3360</v>
      </c>
      <c r="G47" s="1">
        <v>1386.36</v>
      </c>
      <c r="H47" s="1">
        <v>271.66000000000003</v>
      </c>
      <c r="I47" s="1">
        <v>800</v>
      </c>
      <c r="J47" s="1">
        <v>528.33999999999992</v>
      </c>
      <c r="K47" s="1">
        <v>919.16666666666652</v>
      </c>
      <c r="L47" s="1">
        <v>990</v>
      </c>
      <c r="M47" s="1">
        <v>70.833333333333371</v>
      </c>
      <c r="N47" s="1">
        <v>2500</v>
      </c>
      <c r="O47" s="1">
        <v>13160</v>
      </c>
      <c r="P47" s="1">
        <v>5324.0033333333313</v>
      </c>
      <c r="Q47" s="1">
        <v>2824.0033333333313</v>
      </c>
      <c r="R47">
        <f>YEAR(tbl_daily[[#This Row],[Date]])</f>
        <v>2023</v>
      </c>
      <c r="S47" t="str">
        <f>TEXT(tbl_daily[[#This Row],[Date]],"mmmm")</f>
        <v>January</v>
      </c>
      <c r="T47">
        <f>MONTH(tbl_daily[[#This Row],[Date]])</f>
        <v>1</v>
      </c>
      <c r="U47" t="str">
        <f>"Q"&amp;ROUNDUP(MONTH(tbl_daily[[#This Row],[Date]])/3,0)</f>
        <v>Q1</v>
      </c>
      <c r="V47" t="str">
        <f>TEXT(tbl_daily[[#This Row],[Date]],"dddd")</f>
        <v>Monday</v>
      </c>
      <c r="W47" t="str">
        <f t="shared" si="0"/>
        <v>Profitable</v>
      </c>
      <c r="X47">
        <f t="shared" si="1"/>
        <v>40.455952380952368</v>
      </c>
      <c r="Y47">
        <f t="shared" si="2"/>
        <v>21.458991894630177</v>
      </c>
    </row>
    <row r="48" spans="1:25">
      <c r="A48" s="3">
        <v>44943</v>
      </c>
      <c r="B48" s="1">
        <v>4893.8</v>
      </c>
      <c r="C48" s="1">
        <v>7000</v>
      </c>
      <c r="D48" s="1">
        <v>2106.1999999999998</v>
      </c>
      <c r="E48" s="1">
        <v>1371.85</v>
      </c>
      <c r="F48" s="1">
        <v>2520</v>
      </c>
      <c r="G48" s="1">
        <v>1148.1500000000001</v>
      </c>
      <c r="H48" s="1">
        <v>202</v>
      </c>
      <c r="I48" s="1">
        <v>960</v>
      </c>
      <c r="J48" s="1">
        <v>758</v>
      </c>
      <c r="K48" s="1">
        <v>421.66666666666674</v>
      </c>
      <c r="L48" s="1">
        <v>520</v>
      </c>
      <c r="M48" s="1">
        <v>98.333333333333314</v>
      </c>
      <c r="N48" s="1">
        <v>2500</v>
      </c>
      <c r="O48" s="1">
        <v>11000</v>
      </c>
      <c r="P48" s="1">
        <v>4110.6833333333334</v>
      </c>
      <c r="Q48" s="1">
        <v>1610.6833333333334</v>
      </c>
      <c r="R48">
        <f>YEAR(tbl_daily[[#This Row],[Date]])</f>
        <v>2023</v>
      </c>
      <c r="S48" t="str">
        <f>TEXT(tbl_daily[[#This Row],[Date]],"mmmm")</f>
        <v>January</v>
      </c>
      <c r="T48">
        <f>MONTH(tbl_daily[[#This Row],[Date]])</f>
        <v>1</v>
      </c>
      <c r="U48" t="str">
        <f>"Q"&amp;ROUNDUP(MONTH(tbl_daily[[#This Row],[Date]])/3,0)</f>
        <v>Q1</v>
      </c>
      <c r="V48" t="str">
        <f>TEXT(tbl_daily[[#This Row],[Date]],"dddd")</f>
        <v>Tuesday</v>
      </c>
      <c r="W48" t="str">
        <f t="shared" si="0"/>
        <v>Profitable</v>
      </c>
      <c r="X48">
        <f t="shared" si="1"/>
        <v>37.369848484848482</v>
      </c>
      <c r="Y48">
        <f t="shared" si="2"/>
        <v>14.642575757575758</v>
      </c>
    </row>
    <row r="49" spans="1:25">
      <c r="A49" s="3">
        <v>44944</v>
      </c>
      <c r="B49" s="1">
        <v>5484.4500000000007</v>
      </c>
      <c r="C49" s="1">
        <v>6110</v>
      </c>
      <c r="D49" s="1">
        <v>625.54999999999927</v>
      </c>
      <c r="E49" s="1">
        <v>1698.4599999999998</v>
      </c>
      <c r="F49" s="1">
        <v>2730</v>
      </c>
      <c r="G49" s="1">
        <v>1031.5400000000002</v>
      </c>
      <c r="H49" s="1">
        <v>174</v>
      </c>
      <c r="I49" s="1">
        <v>1110</v>
      </c>
      <c r="J49" s="1">
        <v>936</v>
      </c>
      <c r="K49" s="1">
        <v>899.16666666666674</v>
      </c>
      <c r="L49" s="1">
        <v>1110</v>
      </c>
      <c r="M49" s="1">
        <v>210.83333333333329</v>
      </c>
      <c r="N49" s="1">
        <v>2500</v>
      </c>
      <c r="O49" s="1">
        <v>11060</v>
      </c>
      <c r="P49" s="1">
        <v>2803.9233333333323</v>
      </c>
      <c r="Q49" s="1">
        <v>303.92333333333227</v>
      </c>
      <c r="R49">
        <f>YEAR(tbl_daily[[#This Row],[Date]])</f>
        <v>2023</v>
      </c>
      <c r="S49" t="str">
        <f>TEXT(tbl_daily[[#This Row],[Date]],"mmmm")</f>
        <v>January</v>
      </c>
      <c r="T49">
        <f>MONTH(tbl_daily[[#This Row],[Date]])</f>
        <v>1</v>
      </c>
      <c r="U49" t="str">
        <f>"Q"&amp;ROUNDUP(MONTH(tbl_daily[[#This Row],[Date]])/3,0)</f>
        <v>Q1</v>
      </c>
      <c r="V49" t="str">
        <f>TEXT(tbl_daily[[#This Row],[Date]],"dddd")</f>
        <v>Wednesday</v>
      </c>
      <c r="W49" t="str">
        <f t="shared" si="0"/>
        <v>Profitable</v>
      </c>
      <c r="X49">
        <f t="shared" si="1"/>
        <v>25.351928872814938</v>
      </c>
      <c r="Y49">
        <f t="shared" si="2"/>
        <v>2.7479505726341071</v>
      </c>
    </row>
    <row r="50" spans="1:25">
      <c r="A50" s="3">
        <v>44945</v>
      </c>
      <c r="B50" s="1">
        <v>3932.0000000000009</v>
      </c>
      <c r="C50" s="1">
        <v>7240</v>
      </c>
      <c r="D50" s="1">
        <v>3307.9999999999995</v>
      </c>
      <c r="E50" s="1">
        <v>2565.6</v>
      </c>
      <c r="F50" s="1">
        <v>4620</v>
      </c>
      <c r="G50" s="1">
        <v>2054.4</v>
      </c>
      <c r="H50" s="1">
        <v>179.5</v>
      </c>
      <c r="I50" s="1">
        <v>730</v>
      </c>
      <c r="J50" s="1">
        <v>550.5</v>
      </c>
      <c r="K50" s="1">
        <v>496.66666666666674</v>
      </c>
      <c r="L50" s="1">
        <v>610</v>
      </c>
      <c r="M50" s="1">
        <v>113.33333333333331</v>
      </c>
      <c r="N50" s="1">
        <v>2500</v>
      </c>
      <c r="O50" s="1">
        <v>13200</v>
      </c>
      <c r="P50" s="1">
        <v>6026.2333333333327</v>
      </c>
      <c r="Q50" s="1">
        <v>3526.2333333333327</v>
      </c>
      <c r="R50">
        <f>YEAR(tbl_daily[[#This Row],[Date]])</f>
        <v>2023</v>
      </c>
      <c r="S50" t="str">
        <f>TEXT(tbl_daily[[#This Row],[Date]],"mmmm")</f>
        <v>January</v>
      </c>
      <c r="T50">
        <f>MONTH(tbl_daily[[#This Row],[Date]])</f>
        <v>1</v>
      </c>
      <c r="U50" t="str">
        <f>"Q"&amp;ROUNDUP(MONTH(tbl_daily[[#This Row],[Date]])/3,0)</f>
        <v>Q1</v>
      </c>
      <c r="V50" t="str">
        <f>TEXT(tbl_daily[[#This Row],[Date]],"dddd")</f>
        <v>Thursday</v>
      </c>
      <c r="W50" t="str">
        <f t="shared" si="0"/>
        <v>Profitable</v>
      </c>
      <c r="X50">
        <f t="shared" si="1"/>
        <v>45.653282828282819</v>
      </c>
      <c r="Y50">
        <f t="shared" si="2"/>
        <v>26.713888888888881</v>
      </c>
    </row>
    <row r="51" spans="1:25">
      <c r="A51" s="3">
        <v>44946</v>
      </c>
      <c r="B51" s="1">
        <v>5360.0399999999991</v>
      </c>
      <c r="C51" s="1">
        <v>8285</v>
      </c>
      <c r="D51" s="1">
        <v>2924.9600000000009</v>
      </c>
      <c r="E51" s="1">
        <v>2823.6</v>
      </c>
      <c r="F51" s="1">
        <v>4410</v>
      </c>
      <c r="G51" s="1">
        <v>1586.4</v>
      </c>
      <c r="H51" s="1">
        <v>367.15999999999997</v>
      </c>
      <c r="I51" s="1">
        <v>1510</v>
      </c>
      <c r="J51" s="1">
        <v>1142.8400000000001</v>
      </c>
      <c r="K51" s="1">
        <v>653.33333333333337</v>
      </c>
      <c r="L51" s="1">
        <v>820</v>
      </c>
      <c r="M51" s="1">
        <v>166.66666666666663</v>
      </c>
      <c r="N51" s="1">
        <v>2500</v>
      </c>
      <c r="O51" s="1">
        <v>15025</v>
      </c>
      <c r="P51" s="1">
        <v>5820.8666666666677</v>
      </c>
      <c r="Q51" s="1">
        <v>3320.8666666666677</v>
      </c>
      <c r="R51">
        <f>YEAR(tbl_daily[[#This Row],[Date]])</f>
        <v>2023</v>
      </c>
      <c r="S51" t="str">
        <f>TEXT(tbl_daily[[#This Row],[Date]],"mmmm")</f>
        <v>January</v>
      </c>
      <c r="T51">
        <f>MONTH(tbl_daily[[#This Row],[Date]])</f>
        <v>1</v>
      </c>
      <c r="U51" t="str">
        <f>"Q"&amp;ROUNDUP(MONTH(tbl_daily[[#This Row],[Date]])/3,0)</f>
        <v>Q1</v>
      </c>
      <c r="V51" t="str">
        <f>TEXT(tbl_daily[[#This Row],[Date]],"dddd")</f>
        <v>Friday</v>
      </c>
      <c r="W51" t="str">
        <f t="shared" si="0"/>
        <v>Profitable</v>
      </c>
      <c r="X51">
        <f t="shared" si="1"/>
        <v>38.741209095951199</v>
      </c>
      <c r="Y51">
        <f t="shared" si="2"/>
        <v>22.102273987798121</v>
      </c>
    </row>
    <row r="52" spans="1:25">
      <c r="A52" s="3">
        <v>44947</v>
      </c>
      <c r="B52" s="1">
        <v>4639.0300000000016</v>
      </c>
      <c r="C52" s="1">
        <v>5910</v>
      </c>
      <c r="D52" s="1">
        <v>1270.9699999999984</v>
      </c>
      <c r="E52" s="1">
        <v>1596.9499999999996</v>
      </c>
      <c r="F52" s="1">
        <v>2520</v>
      </c>
      <c r="G52" s="1">
        <v>923.05000000000052</v>
      </c>
      <c r="H52" s="1">
        <v>280.5</v>
      </c>
      <c r="I52" s="1">
        <v>770</v>
      </c>
      <c r="J52" s="1">
        <v>489.5</v>
      </c>
      <c r="K52" s="1">
        <v>400.83333333333337</v>
      </c>
      <c r="L52" s="1">
        <v>500</v>
      </c>
      <c r="M52" s="1">
        <v>99.166666666666629</v>
      </c>
      <c r="N52" s="1">
        <v>2500</v>
      </c>
      <c r="O52" s="1">
        <v>9700</v>
      </c>
      <c r="P52" s="1">
        <v>2782.6866666666651</v>
      </c>
      <c r="Q52" s="1">
        <v>282.68666666666513</v>
      </c>
      <c r="R52">
        <f>YEAR(tbl_daily[[#This Row],[Date]])</f>
        <v>2023</v>
      </c>
      <c r="S52" t="str">
        <f>TEXT(tbl_daily[[#This Row],[Date]],"mmmm")</f>
        <v>January</v>
      </c>
      <c r="T52">
        <f>MONTH(tbl_daily[[#This Row],[Date]])</f>
        <v>1</v>
      </c>
      <c r="U52" t="str">
        <f>"Q"&amp;ROUNDUP(MONTH(tbl_daily[[#This Row],[Date]])/3,0)</f>
        <v>Q1</v>
      </c>
      <c r="V52" t="str">
        <f>TEXT(tbl_daily[[#This Row],[Date]],"dddd")</f>
        <v>Saturday</v>
      </c>
      <c r="W52" t="str">
        <f t="shared" si="0"/>
        <v>Profitable</v>
      </c>
      <c r="X52">
        <f t="shared" si="1"/>
        <v>28.68749140893469</v>
      </c>
      <c r="Y52">
        <f t="shared" si="2"/>
        <v>2.9142955326460322</v>
      </c>
    </row>
    <row r="53" spans="1:25">
      <c r="A53" s="3">
        <v>44948</v>
      </c>
      <c r="B53" s="1">
        <v>5437.3449999999993</v>
      </c>
      <c r="C53" s="1">
        <v>7150</v>
      </c>
      <c r="D53" s="1">
        <v>1712.6550000000009</v>
      </c>
      <c r="E53" s="1">
        <v>1062.5500000000002</v>
      </c>
      <c r="F53" s="1">
        <v>1680</v>
      </c>
      <c r="G53" s="1">
        <v>617.44999999999982</v>
      </c>
      <c r="H53" s="1">
        <v>271.66000000000003</v>
      </c>
      <c r="I53" s="1">
        <v>550</v>
      </c>
      <c r="J53" s="1">
        <v>278.33999999999997</v>
      </c>
      <c r="K53" s="1">
        <v>612.5</v>
      </c>
      <c r="L53" s="1">
        <v>760</v>
      </c>
      <c r="M53" s="1">
        <v>147.5</v>
      </c>
      <c r="N53" s="1">
        <v>2500</v>
      </c>
      <c r="O53" s="1">
        <v>10140</v>
      </c>
      <c r="P53" s="1">
        <v>2755.9450000000006</v>
      </c>
      <c r="Q53" s="1">
        <v>255.94500000000065</v>
      </c>
      <c r="R53">
        <f>YEAR(tbl_daily[[#This Row],[Date]])</f>
        <v>2023</v>
      </c>
      <c r="S53" t="str">
        <f>TEXT(tbl_daily[[#This Row],[Date]],"mmmm")</f>
        <v>January</v>
      </c>
      <c r="T53">
        <f>MONTH(tbl_daily[[#This Row],[Date]])</f>
        <v>1</v>
      </c>
      <c r="U53" t="str">
        <f>"Q"&amp;ROUNDUP(MONTH(tbl_daily[[#This Row],[Date]])/3,0)</f>
        <v>Q1</v>
      </c>
      <c r="V53" t="str">
        <f>TEXT(tbl_daily[[#This Row],[Date]],"dddd")</f>
        <v>Sunday</v>
      </c>
      <c r="W53" t="str">
        <f t="shared" si="0"/>
        <v>Profitable</v>
      </c>
      <c r="X53">
        <f t="shared" si="1"/>
        <v>27.178944773175552</v>
      </c>
      <c r="Y53">
        <f t="shared" si="2"/>
        <v>2.5241124260355092</v>
      </c>
    </row>
    <row r="54" spans="1:25">
      <c r="A54" s="3">
        <v>44949</v>
      </c>
      <c r="B54" s="1">
        <v>4562.2700000000004</v>
      </c>
      <c r="C54" s="1">
        <v>6700</v>
      </c>
      <c r="D54" s="1">
        <v>2137.7299999999996</v>
      </c>
      <c r="E54" s="1">
        <v>200.99999999999983</v>
      </c>
      <c r="F54" s="1">
        <v>420</v>
      </c>
      <c r="G54" s="1">
        <v>219.00000000000017</v>
      </c>
      <c r="H54" s="1">
        <v>174</v>
      </c>
      <c r="I54" s="1">
        <v>610</v>
      </c>
      <c r="J54" s="1">
        <v>436</v>
      </c>
      <c r="K54" s="1">
        <v>190.83333333333337</v>
      </c>
      <c r="L54" s="1">
        <v>230</v>
      </c>
      <c r="M54" s="1">
        <v>39.166666666666657</v>
      </c>
      <c r="N54" s="1">
        <v>2500</v>
      </c>
      <c r="O54" s="1">
        <v>7960</v>
      </c>
      <c r="P54" s="1">
        <v>2831.8966666666661</v>
      </c>
      <c r="Q54" s="1">
        <v>331.89666666666608</v>
      </c>
      <c r="R54">
        <f>YEAR(tbl_daily[[#This Row],[Date]])</f>
        <v>2023</v>
      </c>
      <c r="S54" t="str">
        <f>TEXT(tbl_daily[[#This Row],[Date]],"mmmm")</f>
        <v>January</v>
      </c>
      <c r="T54">
        <f>MONTH(tbl_daily[[#This Row],[Date]])</f>
        <v>1</v>
      </c>
      <c r="U54" t="str">
        <f>"Q"&amp;ROUNDUP(MONTH(tbl_daily[[#This Row],[Date]])/3,0)</f>
        <v>Q1</v>
      </c>
      <c r="V54" t="str">
        <f>TEXT(tbl_daily[[#This Row],[Date]],"dddd")</f>
        <v>Monday</v>
      </c>
      <c r="W54" t="str">
        <f t="shared" si="0"/>
        <v>Profitable</v>
      </c>
      <c r="X54">
        <f t="shared" si="1"/>
        <v>35.576591289782236</v>
      </c>
      <c r="Y54">
        <f t="shared" si="2"/>
        <v>4.1695561139028401</v>
      </c>
    </row>
    <row r="55" spans="1:25">
      <c r="A55" s="3">
        <v>44950</v>
      </c>
      <c r="B55" s="1">
        <v>4039.37</v>
      </c>
      <c r="C55" s="1">
        <v>6990</v>
      </c>
      <c r="D55" s="1">
        <v>2950.6299999999997</v>
      </c>
      <c r="E55" s="1">
        <v>1640.55</v>
      </c>
      <c r="F55" s="1">
        <v>2520</v>
      </c>
      <c r="G55" s="1">
        <v>879.45</v>
      </c>
      <c r="H55" s="1">
        <v>146</v>
      </c>
      <c r="I55" s="1">
        <v>490</v>
      </c>
      <c r="J55" s="1">
        <v>344</v>
      </c>
      <c r="K55" s="1">
        <v>441.66666666666674</v>
      </c>
      <c r="L55" s="1">
        <v>550</v>
      </c>
      <c r="M55" s="1">
        <v>108.33333333333331</v>
      </c>
      <c r="N55" s="1">
        <v>2500</v>
      </c>
      <c r="O55" s="1">
        <v>10550</v>
      </c>
      <c r="P55" s="1">
        <v>4282.413333333333</v>
      </c>
      <c r="Q55" s="1">
        <v>1782.413333333333</v>
      </c>
      <c r="R55">
        <f>YEAR(tbl_daily[[#This Row],[Date]])</f>
        <v>2023</v>
      </c>
      <c r="S55" t="str">
        <f>TEXT(tbl_daily[[#This Row],[Date]],"mmmm")</f>
        <v>January</v>
      </c>
      <c r="T55">
        <f>MONTH(tbl_daily[[#This Row],[Date]])</f>
        <v>1</v>
      </c>
      <c r="U55" t="str">
        <f>"Q"&amp;ROUNDUP(MONTH(tbl_daily[[#This Row],[Date]])/3,0)</f>
        <v>Q1</v>
      </c>
      <c r="V55" t="str">
        <f>TEXT(tbl_daily[[#This Row],[Date]],"dddd")</f>
        <v>Tuesday</v>
      </c>
      <c r="W55" t="str">
        <f t="shared" si="0"/>
        <v>Profitable</v>
      </c>
      <c r="X55">
        <f t="shared" si="1"/>
        <v>40.59159557661927</v>
      </c>
      <c r="Y55">
        <f t="shared" si="2"/>
        <v>16.894913112164296</v>
      </c>
    </row>
    <row r="56" spans="1:25">
      <c r="A56" s="3">
        <v>44951</v>
      </c>
      <c r="B56" s="1">
        <v>4935.4549999999999</v>
      </c>
      <c r="C56" s="1">
        <v>7680</v>
      </c>
      <c r="D56" s="1">
        <v>2744.5450000000001</v>
      </c>
      <c r="E56" s="1">
        <v>2101.35</v>
      </c>
      <c r="F56" s="1">
        <v>1660</v>
      </c>
      <c r="G56" s="1">
        <v>-441.34999999999991</v>
      </c>
      <c r="H56" s="1">
        <v>202</v>
      </c>
      <c r="I56" s="1">
        <v>980</v>
      </c>
      <c r="J56" s="1">
        <v>778</v>
      </c>
      <c r="K56" s="1">
        <v>504.16666666666674</v>
      </c>
      <c r="L56" s="1">
        <v>630</v>
      </c>
      <c r="M56" s="1">
        <v>125.83333333333331</v>
      </c>
      <c r="N56" s="1">
        <v>2500</v>
      </c>
      <c r="O56" s="1">
        <v>10950</v>
      </c>
      <c r="P56" s="1">
        <v>3207.0283333333336</v>
      </c>
      <c r="Q56" s="1">
        <v>707.02833333333365</v>
      </c>
      <c r="R56">
        <f>YEAR(tbl_daily[[#This Row],[Date]])</f>
        <v>2023</v>
      </c>
      <c r="S56" t="str">
        <f>TEXT(tbl_daily[[#This Row],[Date]],"mmmm")</f>
        <v>January</v>
      </c>
      <c r="T56">
        <f>MONTH(tbl_daily[[#This Row],[Date]])</f>
        <v>1</v>
      </c>
      <c r="U56" t="str">
        <f>"Q"&amp;ROUNDUP(MONTH(tbl_daily[[#This Row],[Date]])/3,0)</f>
        <v>Q1</v>
      </c>
      <c r="V56" t="str">
        <f>TEXT(tbl_daily[[#This Row],[Date]],"dddd")</f>
        <v>Wednesday</v>
      </c>
      <c r="W56" t="str">
        <f t="shared" si="0"/>
        <v>Profitable</v>
      </c>
      <c r="X56">
        <f t="shared" si="1"/>
        <v>29.287929984779304</v>
      </c>
      <c r="Y56">
        <f t="shared" si="2"/>
        <v>6.4568797564688003</v>
      </c>
    </row>
    <row r="57" spans="1:25">
      <c r="A57" s="3">
        <v>44952</v>
      </c>
      <c r="B57" s="1">
        <v>5320.2149999999983</v>
      </c>
      <c r="C57" s="1">
        <v>6840</v>
      </c>
      <c r="D57" s="1">
        <v>1519.7850000000017</v>
      </c>
      <c r="E57" s="1">
        <v>2082.8000000000002</v>
      </c>
      <c r="F57" s="1">
        <v>3570</v>
      </c>
      <c r="G57" s="1">
        <v>1487.1999999999998</v>
      </c>
      <c r="H57" s="1">
        <v>163</v>
      </c>
      <c r="I57" s="1">
        <v>420</v>
      </c>
      <c r="J57" s="1">
        <v>257</v>
      </c>
      <c r="K57" s="1">
        <v>571.66666666666663</v>
      </c>
      <c r="L57" s="1">
        <v>720</v>
      </c>
      <c r="M57" s="1">
        <v>148.33333333333337</v>
      </c>
      <c r="N57" s="1">
        <v>2500</v>
      </c>
      <c r="O57" s="1">
        <v>11550</v>
      </c>
      <c r="P57" s="1">
        <v>3412.318333333335</v>
      </c>
      <c r="Q57" s="1">
        <v>912.31833333333509</v>
      </c>
      <c r="R57">
        <f>YEAR(tbl_daily[[#This Row],[Date]])</f>
        <v>2023</v>
      </c>
      <c r="S57" t="str">
        <f>TEXT(tbl_daily[[#This Row],[Date]],"mmmm")</f>
        <v>January</v>
      </c>
      <c r="T57">
        <f>MONTH(tbl_daily[[#This Row],[Date]])</f>
        <v>1</v>
      </c>
      <c r="U57" t="str">
        <f>"Q"&amp;ROUNDUP(MONTH(tbl_daily[[#This Row],[Date]])/3,0)</f>
        <v>Q1</v>
      </c>
      <c r="V57" t="str">
        <f>TEXT(tbl_daily[[#This Row],[Date]],"dddd")</f>
        <v>Thursday</v>
      </c>
      <c r="W57" t="str">
        <f t="shared" si="0"/>
        <v>Profitable</v>
      </c>
      <c r="X57">
        <f t="shared" si="1"/>
        <v>29.543881673881689</v>
      </c>
      <c r="Y57">
        <f t="shared" si="2"/>
        <v>7.8988600288600441</v>
      </c>
    </row>
    <row r="58" spans="1:25">
      <c r="A58" s="3">
        <v>44953</v>
      </c>
      <c r="B58" s="1">
        <v>6015.9100000000017</v>
      </c>
      <c r="C58" s="1">
        <v>7720</v>
      </c>
      <c r="D58" s="1">
        <v>1704.0899999999983</v>
      </c>
      <c r="E58" s="1">
        <v>1784.7</v>
      </c>
      <c r="F58" s="1">
        <v>2730</v>
      </c>
      <c r="G58" s="1">
        <v>945.3</v>
      </c>
      <c r="H58" s="1">
        <v>236.83</v>
      </c>
      <c r="I58" s="1">
        <v>470</v>
      </c>
      <c r="J58" s="1">
        <v>233.17</v>
      </c>
      <c r="K58" s="1">
        <v>469.16666666666674</v>
      </c>
      <c r="L58" s="1">
        <v>580</v>
      </c>
      <c r="M58" s="1">
        <v>110.83333333333331</v>
      </c>
      <c r="N58" s="1">
        <v>2500</v>
      </c>
      <c r="O58" s="1">
        <v>11500</v>
      </c>
      <c r="P58" s="1">
        <v>2993.3933333333321</v>
      </c>
      <c r="Q58" s="1">
        <v>493.39333333333207</v>
      </c>
      <c r="R58">
        <f>YEAR(tbl_daily[[#This Row],[Date]])</f>
        <v>2023</v>
      </c>
      <c r="S58" t="str">
        <f>TEXT(tbl_daily[[#This Row],[Date]],"mmmm")</f>
        <v>January</v>
      </c>
      <c r="T58">
        <f>MONTH(tbl_daily[[#This Row],[Date]])</f>
        <v>1</v>
      </c>
      <c r="U58" t="str">
        <f>"Q"&amp;ROUNDUP(MONTH(tbl_daily[[#This Row],[Date]])/3,0)</f>
        <v>Q1</v>
      </c>
      <c r="V58" t="str">
        <f>TEXT(tbl_daily[[#This Row],[Date]],"dddd")</f>
        <v>Friday</v>
      </c>
      <c r="W58" t="str">
        <f t="shared" si="0"/>
        <v>Profitable</v>
      </c>
      <c r="X58">
        <f t="shared" si="1"/>
        <v>26.029507246376799</v>
      </c>
      <c r="Y58">
        <f t="shared" si="2"/>
        <v>4.290376811594192</v>
      </c>
    </row>
    <row r="59" spans="1:25">
      <c r="A59" s="3">
        <v>44954</v>
      </c>
      <c r="B59" s="1">
        <v>4765.75</v>
      </c>
      <c r="C59" s="1">
        <v>6200</v>
      </c>
      <c r="D59" s="1">
        <v>1434.25</v>
      </c>
      <c r="E59" s="1">
        <v>896.25000000000011</v>
      </c>
      <c r="F59" s="1">
        <v>1470</v>
      </c>
      <c r="G59" s="1">
        <v>573.74999999999989</v>
      </c>
      <c r="H59" s="1">
        <v>174</v>
      </c>
      <c r="I59" s="1">
        <v>610</v>
      </c>
      <c r="J59" s="1">
        <v>436</v>
      </c>
      <c r="K59" s="1">
        <v>483.33333333333337</v>
      </c>
      <c r="L59" s="1">
        <v>590</v>
      </c>
      <c r="M59" s="1">
        <v>106.66666666666664</v>
      </c>
      <c r="N59" s="1">
        <v>2500</v>
      </c>
      <c r="O59" s="1">
        <v>8870</v>
      </c>
      <c r="P59" s="1">
        <v>2550.6666666666665</v>
      </c>
      <c r="Q59" s="1">
        <v>50.666666666666515</v>
      </c>
      <c r="R59">
        <f>YEAR(tbl_daily[[#This Row],[Date]])</f>
        <v>2023</v>
      </c>
      <c r="S59" t="str">
        <f>TEXT(tbl_daily[[#This Row],[Date]],"mmmm")</f>
        <v>January</v>
      </c>
      <c r="T59">
        <f>MONTH(tbl_daily[[#This Row],[Date]])</f>
        <v>1</v>
      </c>
      <c r="U59" t="str">
        <f>"Q"&amp;ROUNDUP(MONTH(tbl_daily[[#This Row],[Date]])/3,0)</f>
        <v>Q1</v>
      </c>
      <c r="V59" t="str">
        <f>TEXT(tbl_daily[[#This Row],[Date]],"dddd")</f>
        <v>Saturday</v>
      </c>
      <c r="W59" t="str">
        <f t="shared" si="0"/>
        <v>Profitable</v>
      </c>
      <c r="X59">
        <f t="shared" si="1"/>
        <v>28.756106726794439</v>
      </c>
      <c r="Y59">
        <f t="shared" si="2"/>
        <v>0.57121382938744658</v>
      </c>
    </row>
    <row r="60" spans="1:25">
      <c r="A60" s="3">
        <v>44955</v>
      </c>
      <c r="B60" s="1">
        <v>4915.5150000000012</v>
      </c>
      <c r="C60" s="1">
        <v>5710</v>
      </c>
      <c r="D60" s="1">
        <v>794.48499999999876</v>
      </c>
      <c r="E60" s="1">
        <v>2027.7</v>
      </c>
      <c r="F60" s="1">
        <v>3090</v>
      </c>
      <c r="G60" s="1">
        <v>1062.3</v>
      </c>
      <c r="H60" s="1">
        <v>270</v>
      </c>
      <c r="I60" s="1">
        <v>970</v>
      </c>
      <c r="J60" s="1">
        <v>700</v>
      </c>
      <c r="K60" s="1">
        <v>530.83333333333337</v>
      </c>
      <c r="L60" s="1">
        <v>650</v>
      </c>
      <c r="M60" s="1">
        <v>119.16666666666664</v>
      </c>
      <c r="N60" s="1">
        <v>2500</v>
      </c>
      <c r="O60" s="1">
        <v>10420</v>
      </c>
      <c r="P60" s="1">
        <v>2675.9516666666655</v>
      </c>
      <c r="Q60" s="1">
        <v>175.95166666666546</v>
      </c>
      <c r="R60">
        <f>YEAR(tbl_daily[[#This Row],[Date]])</f>
        <v>2023</v>
      </c>
      <c r="S60" t="str">
        <f>TEXT(tbl_daily[[#This Row],[Date]],"mmmm")</f>
        <v>January</v>
      </c>
      <c r="T60">
        <f>MONTH(tbl_daily[[#This Row],[Date]])</f>
        <v>1</v>
      </c>
      <c r="U60" t="str">
        <f>"Q"&amp;ROUNDUP(MONTH(tbl_daily[[#This Row],[Date]])/3,0)</f>
        <v>Q1</v>
      </c>
      <c r="V60" t="str">
        <f>TEXT(tbl_daily[[#This Row],[Date]],"dddd")</f>
        <v>Sunday</v>
      </c>
      <c r="W60" t="str">
        <f t="shared" si="0"/>
        <v>Profitable</v>
      </c>
      <c r="X60">
        <f t="shared" si="1"/>
        <v>25.680918106206001</v>
      </c>
      <c r="Y60">
        <f t="shared" si="2"/>
        <v>1.6885956493921828</v>
      </c>
    </row>
    <row r="61" spans="1:25">
      <c r="A61" s="3">
        <v>44956</v>
      </c>
      <c r="B61" s="1">
        <v>4829.9449999999988</v>
      </c>
      <c r="C61" s="1">
        <v>6090</v>
      </c>
      <c r="D61" s="1">
        <v>1260.0550000000012</v>
      </c>
      <c r="E61" s="1">
        <v>564.19999999999993</v>
      </c>
      <c r="F61" s="1">
        <v>990</v>
      </c>
      <c r="G61" s="1">
        <v>425.80000000000007</v>
      </c>
      <c r="H61" s="1">
        <v>230</v>
      </c>
      <c r="I61" s="1">
        <v>600</v>
      </c>
      <c r="J61" s="1">
        <v>370</v>
      </c>
      <c r="K61" s="1">
        <v>640</v>
      </c>
      <c r="L61" s="1">
        <v>780</v>
      </c>
      <c r="M61" s="1">
        <v>140</v>
      </c>
      <c r="N61" s="1">
        <v>2500</v>
      </c>
      <c r="O61" s="1">
        <v>8460</v>
      </c>
      <c r="P61" s="1">
        <v>2195.8550000000014</v>
      </c>
      <c r="Q61" s="1">
        <v>-304.14499999999862</v>
      </c>
      <c r="R61">
        <f>YEAR(tbl_daily[[#This Row],[Date]])</f>
        <v>2023</v>
      </c>
      <c r="S61" t="str">
        <f>TEXT(tbl_daily[[#This Row],[Date]],"mmmm")</f>
        <v>January</v>
      </c>
      <c r="T61">
        <f>MONTH(tbl_daily[[#This Row],[Date]])</f>
        <v>1</v>
      </c>
      <c r="U61" t="str">
        <f>"Q"&amp;ROUNDUP(MONTH(tbl_daily[[#This Row],[Date]])/3,0)</f>
        <v>Q1</v>
      </c>
      <c r="V61" t="str">
        <f>TEXT(tbl_daily[[#This Row],[Date]],"dddd")</f>
        <v>Monday</v>
      </c>
      <c r="W61" t="str">
        <f t="shared" si="0"/>
        <v>Loss</v>
      </c>
      <c r="X61">
        <f t="shared" si="1"/>
        <v>25.955732860520108</v>
      </c>
      <c r="Y61">
        <f t="shared" si="2"/>
        <v>-3.5950945626477373</v>
      </c>
    </row>
    <row r="62" spans="1:25">
      <c r="A62" s="3">
        <v>44957</v>
      </c>
      <c r="B62" s="1">
        <v>3531.7750000000001</v>
      </c>
      <c r="C62" s="1">
        <v>4780</v>
      </c>
      <c r="D62" s="1">
        <v>1248.2249999999999</v>
      </c>
      <c r="E62" s="1">
        <v>881.10000000000036</v>
      </c>
      <c r="F62" s="1">
        <v>840</v>
      </c>
      <c r="G62" s="1">
        <v>-41.10000000000025</v>
      </c>
      <c r="H62" s="1">
        <v>174</v>
      </c>
      <c r="I62" s="1">
        <v>500</v>
      </c>
      <c r="J62" s="1">
        <v>326</v>
      </c>
      <c r="K62" s="1">
        <v>606.66666666666674</v>
      </c>
      <c r="L62" s="1">
        <v>750</v>
      </c>
      <c r="M62" s="1">
        <v>143.33333333333326</v>
      </c>
      <c r="N62" s="1">
        <v>2500</v>
      </c>
      <c r="O62" s="1">
        <v>6870</v>
      </c>
      <c r="P62" s="1">
        <v>1676.4583333333328</v>
      </c>
      <c r="Q62" s="1">
        <v>-823.5416666666672</v>
      </c>
      <c r="R62">
        <f>YEAR(tbl_daily[[#This Row],[Date]])</f>
        <v>2023</v>
      </c>
      <c r="S62" t="str">
        <f>TEXT(tbl_daily[[#This Row],[Date]],"mmmm")</f>
        <v>January</v>
      </c>
      <c r="T62">
        <f>MONTH(tbl_daily[[#This Row],[Date]])</f>
        <v>1</v>
      </c>
      <c r="U62" t="str">
        <f>"Q"&amp;ROUNDUP(MONTH(tbl_daily[[#This Row],[Date]])/3,0)</f>
        <v>Q1</v>
      </c>
      <c r="V62" t="str">
        <f>TEXT(tbl_daily[[#This Row],[Date]],"dddd")</f>
        <v>Tuesday</v>
      </c>
      <c r="W62" t="str">
        <f t="shared" si="0"/>
        <v>Loss</v>
      </c>
      <c r="X62">
        <f t="shared" si="1"/>
        <v>24.402595827268307</v>
      </c>
      <c r="Y62">
        <f t="shared" si="2"/>
        <v>-11.987506065016989</v>
      </c>
    </row>
    <row r="63" spans="1:25">
      <c r="A63" s="3">
        <v>44958</v>
      </c>
      <c r="B63" s="1">
        <v>3582.9830000000002</v>
      </c>
      <c r="C63" s="1">
        <v>5260</v>
      </c>
      <c r="D63" s="1">
        <v>1677.0169999999998</v>
      </c>
      <c r="E63" s="1">
        <v>1216.6500000000001</v>
      </c>
      <c r="F63" s="1">
        <v>2100</v>
      </c>
      <c r="G63" s="1">
        <v>883.3499999999998</v>
      </c>
      <c r="H63" s="1">
        <v>219.83</v>
      </c>
      <c r="I63" s="1">
        <v>790</v>
      </c>
      <c r="J63" s="1">
        <v>570.16999999999996</v>
      </c>
      <c r="K63" s="1">
        <v>305.83333333333337</v>
      </c>
      <c r="L63" s="1">
        <v>380</v>
      </c>
      <c r="M63" s="1">
        <v>74.166666666666629</v>
      </c>
      <c r="N63" s="1">
        <v>2500</v>
      </c>
      <c r="O63" s="1">
        <v>8530</v>
      </c>
      <c r="P63" s="1">
        <v>3204.7036666666663</v>
      </c>
      <c r="Q63" s="1">
        <v>704.70366666666632</v>
      </c>
      <c r="R63">
        <f>YEAR(tbl_daily[[#This Row],[Date]])</f>
        <v>2023</v>
      </c>
      <c r="S63" t="str">
        <f>TEXT(tbl_daily[[#This Row],[Date]],"mmmm")</f>
        <v>February</v>
      </c>
      <c r="T63">
        <f>MONTH(tbl_daily[[#This Row],[Date]])</f>
        <v>2</v>
      </c>
      <c r="U63" t="str">
        <f>"Q"&amp;ROUNDUP(MONTH(tbl_daily[[#This Row],[Date]])/3,0)</f>
        <v>Q1</v>
      </c>
      <c r="V63" t="str">
        <f>TEXT(tbl_daily[[#This Row],[Date]],"dddd")</f>
        <v>Wednesday</v>
      </c>
      <c r="W63" t="str">
        <f t="shared" si="0"/>
        <v>Profitable</v>
      </c>
      <c r="X63">
        <f t="shared" si="1"/>
        <v>37.569796795623283</v>
      </c>
      <c r="Y63">
        <f t="shared" si="2"/>
        <v>8.2614732317311415</v>
      </c>
    </row>
    <row r="64" spans="1:25">
      <c r="A64" s="3">
        <v>44959</v>
      </c>
      <c r="B64" s="1">
        <v>5006.5870000000014</v>
      </c>
      <c r="C64" s="1">
        <v>6600</v>
      </c>
      <c r="D64" s="1">
        <v>1593.4129999999986</v>
      </c>
      <c r="E64" s="1">
        <v>2322.6499999999996</v>
      </c>
      <c r="F64" s="1">
        <v>2940</v>
      </c>
      <c r="G64" s="1">
        <v>617.35000000000036</v>
      </c>
      <c r="H64" s="1">
        <v>337</v>
      </c>
      <c r="I64" s="1">
        <v>830</v>
      </c>
      <c r="J64" s="1">
        <v>493</v>
      </c>
      <c r="K64" s="1">
        <v>770</v>
      </c>
      <c r="L64" s="1">
        <v>950</v>
      </c>
      <c r="M64" s="1">
        <v>180</v>
      </c>
      <c r="N64" s="1">
        <v>2500</v>
      </c>
      <c r="O64" s="1">
        <v>11320</v>
      </c>
      <c r="P64" s="1">
        <v>2883.762999999999</v>
      </c>
      <c r="Q64" s="1">
        <v>383.76299999999907</v>
      </c>
      <c r="R64">
        <f>YEAR(tbl_daily[[#This Row],[Date]])</f>
        <v>2023</v>
      </c>
      <c r="S64" t="str">
        <f>TEXT(tbl_daily[[#This Row],[Date]],"mmmm")</f>
        <v>February</v>
      </c>
      <c r="T64">
        <f>MONTH(tbl_daily[[#This Row],[Date]])</f>
        <v>2</v>
      </c>
      <c r="U64" t="str">
        <f>"Q"&amp;ROUNDUP(MONTH(tbl_daily[[#This Row],[Date]])/3,0)</f>
        <v>Q1</v>
      </c>
      <c r="V64" t="str">
        <f>TEXT(tbl_daily[[#This Row],[Date]],"dddd")</f>
        <v>Thursday</v>
      </c>
      <c r="W64" t="str">
        <f t="shared" si="0"/>
        <v>Profitable</v>
      </c>
      <c r="X64">
        <f t="shared" si="1"/>
        <v>25.474938162544159</v>
      </c>
      <c r="Y64">
        <f t="shared" si="2"/>
        <v>3.3901325088339136</v>
      </c>
    </row>
    <row r="65" spans="1:25">
      <c r="A65" s="3">
        <v>44960</v>
      </c>
      <c r="B65" s="1">
        <v>4875.665</v>
      </c>
      <c r="C65" s="1">
        <v>6880</v>
      </c>
      <c r="D65" s="1">
        <v>2004.335</v>
      </c>
      <c r="E65" s="1">
        <v>2310.6999999999994</v>
      </c>
      <c r="F65" s="1">
        <v>4620</v>
      </c>
      <c r="G65" s="1">
        <v>2309.3000000000006</v>
      </c>
      <c r="H65" s="1">
        <v>174</v>
      </c>
      <c r="I65" s="1">
        <v>340</v>
      </c>
      <c r="J65" s="1">
        <v>166</v>
      </c>
      <c r="K65" s="1">
        <v>490.00000000000006</v>
      </c>
      <c r="L65" s="1">
        <v>630</v>
      </c>
      <c r="M65" s="1">
        <v>139.99999999999994</v>
      </c>
      <c r="N65" s="1">
        <v>2500</v>
      </c>
      <c r="O65" s="1">
        <v>12470</v>
      </c>
      <c r="P65" s="1">
        <v>4619.6350000000002</v>
      </c>
      <c r="Q65" s="1">
        <v>2119.6350000000002</v>
      </c>
      <c r="R65">
        <f>YEAR(tbl_daily[[#This Row],[Date]])</f>
        <v>2023</v>
      </c>
      <c r="S65" t="str">
        <f>TEXT(tbl_daily[[#This Row],[Date]],"mmmm")</f>
        <v>February</v>
      </c>
      <c r="T65">
        <f>MONTH(tbl_daily[[#This Row],[Date]])</f>
        <v>2</v>
      </c>
      <c r="U65" t="str">
        <f>"Q"&amp;ROUNDUP(MONTH(tbl_daily[[#This Row],[Date]])/3,0)</f>
        <v>Q1</v>
      </c>
      <c r="V65" t="str">
        <f>TEXT(tbl_daily[[#This Row],[Date]],"dddd")</f>
        <v>Friday</v>
      </c>
      <c r="W65" t="str">
        <f t="shared" si="0"/>
        <v>Profitable</v>
      </c>
      <c r="X65">
        <f t="shared" si="1"/>
        <v>37.045990376904577</v>
      </c>
      <c r="Y65">
        <f t="shared" si="2"/>
        <v>16.997874899759424</v>
      </c>
    </row>
    <row r="66" spans="1:25">
      <c r="A66" s="3">
        <v>44963</v>
      </c>
      <c r="B66" s="1">
        <v>4632.8</v>
      </c>
      <c r="C66" s="1">
        <v>5680</v>
      </c>
      <c r="D66" s="1">
        <v>1047.1999999999998</v>
      </c>
      <c r="E66" s="1">
        <v>1395</v>
      </c>
      <c r="F66" s="1">
        <v>2520</v>
      </c>
      <c r="G66" s="1">
        <v>1125</v>
      </c>
      <c r="H66" s="1">
        <v>191.83</v>
      </c>
      <c r="I66" s="1">
        <v>660</v>
      </c>
      <c r="J66" s="1">
        <v>468.16999999999996</v>
      </c>
      <c r="K66" s="1">
        <v>660</v>
      </c>
      <c r="L66" s="1">
        <v>850</v>
      </c>
      <c r="M66" s="1">
        <v>190</v>
      </c>
      <c r="N66" s="1">
        <v>2500</v>
      </c>
      <c r="O66" s="1">
        <v>9710</v>
      </c>
      <c r="P66" s="1">
        <v>2830.37</v>
      </c>
      <c r="Q66" s="1">
        <v>330.36999999999989</v>
      </c>
      <c r="R66">
        <f>YEAR(tbl_daily[[#This Row],[Date]])</f>
        <v>2023</v>
      </c>
      <c r="S66" t="str">
        <f>TEXT(tbl_daily[[#This Row],[Date]],"mmmm")</f>
        <v>February</v>
      </c>
      <c r="T66">
        <f>MONTH(tbl_daily[[#This Row],[Date]])</f>
        <v>2</v>
      </c>
      <c r="U66" t="str">
        <f>"Q"&amp;ROUNDUP(MONTH(tbl_daily[[#This Row],[Date]])/3,0)</f>
        <v>Q1</v>
      </c>
      <c r="V66" t="str">
        <f>TEXT(tbl_daily[[#This Row],[Date]],"dddd")</f>
        <v>Monday</v>
      </c>
      <c r="W66" t="str">
        <f t="shared" ref="W66:W129" si="3">IF(Q66&gt;0,"Profitable",IF(Q66&lt;0,"Loss","Break-even"))</f>
        <v>Profitable</v>
      </c>
      <c r="X66">
        <f t="shared" ref="X66:X129" si="4">IFERROR(P66/O66 *100,0)</f>
        <v>29.149021627188464</v>
      </c>
      <c r="Y66">
        <f t="shared" ref="Y66:Y129" si="5">IFERROR(Q66/O66 *100,0)</f>
        <v>3.4023686920700298</v>
      </c>
    </row>
    <row r="67" spans="1:25">
      <c r="A67" s="3">
        <v>44964</v>
      </c>
      <c r="B67" s="1">
        <v>5064.3899999999994</v>
      </c>
      <c r="C67" s="1">
        <v>5260</v>
      </c>
      <c r="D67" s="1">
        <v>195.61000000000055</v>
      </c>
      <c r="E67" s="1">
        <v>2680.6000000000004</v>
      </c>
      <c r="F67" s="1">
        <v>4410</v>
      </c>
      <c r="G67" s="1">
        <v>1729.3999999999996</v>
      </c>
      <c r="H67" s="1">
        <v>326.66000000000003</v>
      </c>
      <c r="I67" s="1">
        <v>1340</v>
      </c>
      <c r="J67" s="1">
        <v>1013.3399999999999</v>
      </c>
      <c r="K67" s="1">
        <v>568.33333333333326</v>
      </c>
      <c r="L67" s="1">
        <v>730</v>
      </c>
      <c r="M67" s="1">
        <v>161.66666666666674</v>
      </c>
      <c r="N67" s="1">
        <v>2500</v>
      </c>
      <c r="O67" s="1">
        <v>11740</v>
      </c>
      <c r="P67" s="1">
        <v>3100.0166666666673</v>
      </c>
      <c r="Q67" s="1">
        <v>600.01666666666733</v>
      </c>
      <c r="R67">
        <f>YEAR(tbl_daily[[#This Row],[Date]])</f>
        <v>2023</v>
      </c>
      <c r="S67" t="str">
        <f>TEXT(tbl_daily[[#This Row],[Date]],"mmmm")</f>
        <v>February</v>
      </c>
      <c r="T67">
        <f>MONTH(tbl_daily[[#This Row],[Date]])</f>
        <v>2</v>
      </c>
      <c r="U67" t="str">
        <f>"Q"&amp;ROUNDUP(MONTH(tbl_daily[[#This Row],[Date]])/3,0)</f>
        <v>Q1</v>
      </c>
      <c r="V67" t="str">
        <f>TEXT(tbl_daily[[#This Row],[Date]],"dddd")</f>
        <v>Tuesday</v>
      </c>
      <c r="W67" t="str">
        <f t="shared" si="3"/>
        <v>Profitable</v>
      </c>
      <c r="X67">
        <f t="shared" si="4"/>
        <v>26.405593412833621</v>
      </c>
      <c r="Y67">
        <f t="shared" si="5"/>
        <v>5.110874503123231</v>
      </c>
    </row>
    <row r="68" spans="1:25">
      <c r="A68" s="3">
        <v>44965</v>
      </c>
      <c r="B68" s="1">
        <v>5024.1850000000004</v>
      </c>
      <c r="C68" s="1">
        <v>6970</v>
      </c>
      <c r="D68" s="1">
        <v>1945.8149999999996</v>
      </c>
      <c r="E68" s="1">
        <v>2205.8999999999996</v>
      </c>
      <c r="F68" s="1">
        <v>4600</v>
      </c>
      <c r="G68" s="1">
        <v>2394.1000000000004</v>
      </c>
      <c r="H68" s="1">
        <v>186</v>
      </c>
      <c r="I68" s="1">
        <v>420</v>
      </c>
      <c r="J68" s="1">
        <v>234</v>
      </c>
      <c r="K68" s="1">
        <v>460</v>
      </c>
      <c r="L68" s="1">
        <v>600</v>
      </c>
      <c r="M68" s="1">
        <v>140</v>
      </c>
      <c r="N68" s="1">
        <v>2500</v>
      </c>
      <c r="O68" s="1">
        <v>12590</v>
      </c>
      <c r="P68" s="1">
        <v>4713.915</v>
      </c>
      <c r="Q68" s="1">
        <v>2213.915</v>
      </c>
      <c r="R68">
        <f>YEAR(tbl_daily[[#This Row],[Date]])</f>
        <v>2023</v>
      </c>
      <c r="S68" t="str">
        <f>TEXT(tbl_daily[[#This Row],[Date]],"mmmm")</f>
        <v>February</v>
      </c>
      <c r="T68">
        <f>MONTH(tbl_daily[[#This Row],[Date]])</f>
        <v>2</v>
      </c>
      <c r="U68" t="str">
        <f>"Q"&amp;ROUNDUP(MONTH(tbl_daily[[#This Row],[Date]])/3,0)</f>
        <v>Q1</v>
      </c>
      <c r="V68" t="str">
        <f>TEXT(tbl_daily[[#This Row],[Date]],"dddd")</f>
        <v>Wednesday</v>
      </c>
      <c r="W68" t="str">
        <f t="shared" si="3"/>
        <v>Profitable</v>
      </c>
      <c r="X68">
        <f t="shared" si="4"/>
        <v>37.441739475774419</v>
      </c>
      <c r="Y68">
        <f t="shared" si="5"/>
        <v>17.584710087370929</v>
      </c>
    </row>
    <row r="69" spans="1:25">
      <c r="A69" s="3">
        <v>44966</v>
      </c>
      <c r="B69" s="1">
        <v>5560.2219999999998</v>
      </c>
      <c r="C69" s="1">
        <v>6390</v>
      </c>
      <c r="D69" s="1">
        <v>829.77800000000036</v>
      </c>
      <c r="E69" s="1">
        <v>1262.25</v>
      </c>
      <c r="F69" s="1">
        <v>1610</v>
      </c>
      <c r="G69" s="1">
        <v>347.75</v>
      </c>
      <c r="H69" s="1">
        <v>90</v>
      </c>
      <c r="I69" s="1">
        <v>1500</v>
      </c>
      <c r="J69" s="1">
        <v>1410</v>
      </c>
      <c r="K69" s="1">
        <v>606.66666666666663</v>
      </c>
      <c r="L69" s="1">
        <v>750</v>
      </c>
      <c r="M69" s="1">
        <v>143.33333333333337</v>
      </c>
      <c r="N69" s="1">
        <v>2500</v>
      </c>
      <c r="O69" s="1">
        <v>10250</v>
      </c>
      <c r="P69" s="1">
        <v>2730.8613333333337</v>
      </c>
      <c r="Q69" s="1">
        <v>230.86133333333373</v>
      </c>
      <c r="R69">
        <f>YEAR(tbl_daily[[#This Row],[Date]])</f>
        <v>2023</v>
      </c>
      <c r="S69" t="str">
        <f>TEXT(tbl_daily[[#This Row],[Date]],"mmmm")</f>
        <v>February</v>
      </c>
      <c r="T69">
        <f>MONTH(tbl_daily[[#This Row],[Date]])</f>
        <v>2</v>
      </c>
      <c r="U69" t="str">
        <f>"Q"&amp;ROUNDUP(MONTH(tbl_daily[[#This Row],[Date]])/3,0)</f>
        <v>Q1</v>
      </c>
      <c r="V69" t="str">
        <f>TEXT(tbl_daily[[#This Row],[Date]],"dddd")</f>
        <v>Thursday</v>
      </c>
      <c r="W69" t="str">
        <f t="shared" si="3"/>
        <v>Profitable</v>
      </c>
      <c r="X69">
        <f t="shared" si="4"/>
        <v>26.642549593495939</v>
      </c>
      <c r="Y69">
        <f t="shared" si="5"/>
        <v>2.2523056910569146</v>
      </c>
    </row>
    <row r="70" spans="1:25">
      <c r="A70" s="3">
        <v>44967</v>
      </c>
      <c r="B70" s="1">
        <v>4927.3980000000001</v>
      </c>
      <c r="C70" s="1">
        <v>6420</v>
      </c>
      <c r="D70" s="1">
        <v>1492.6020000000001</v>
      </c>
      <c r="E70" s="1">
        <v>1559.3100000000002</v>
      </c>
      <c r="F70" s="1">
        <v>2070</v>
      </c>
      <c r="G70" s="1">
        <v>510.68999999999983</v>
      </c>
      <c r="H70" s="1">
        <v>90</v>
      </c>
      <c r="I70" s="1">
        <v>750</v>
      </c>
      <c r="J70" s="1">
        <v>660</v>
      </c>
      <c r="K70" s="1">
        <v>823.33333333333348</v>
      </c>
      <c r="L70" s="1">
        <v>1010</v>
      </c>
      <c r="M70" s="1">
        <v>186.66666666666663</v>
      </c>
      <c r="N70" s="1">
        <v>2500</v>
      </c>
      <c r="O70" s="1">
        <v>10250</v>
      </c>
      <c r="P70" s="1">
        <v>2849.958666666666</v>
      </c>
      <c r="Q70" s="1">
        <v>349.95866666666598</v>
      </c>
      <c r="R70">
        <f>YEAR(tbl_daily[[#This Row],[Date]])</f>
        <v>2023</v>
      </c>
      <c r="S70" t="str">
        <f>TEXT(tbl_daily[[#This Row],[Date]],"mmmm")</f>
        <v>February</v>
      </c>
      <c r="T70">
        <f>MONTH(tbl_daily[[#This Row],[Date]])</f>
        <v>2</v>
      </c>
      <c r="U70" t="str">
        <f>"Q"&amp;ROUNDUP(MONTH(tbl_daily[[#This Row],[Date]])/3,0)</f>
        <v>Q1</v>
      </c>
      <c r="V70" t="str">
        <f>TEXT(tbl_daily[[#This Row],[Date]],"dddd")</f>
        <v>Friday</v>
      </c>
      <c r="W70" t="str">
        <f t="shared" si="3"/>
        <v>Profitable</v>
      </c>
      <c r="X70">
        <f t="shared" si="4"/>
        <v>27.804474796747964</v>
      </c>
      <c r="Y70">
        <f t="shared" si="5"/>
        <v>3.4142308943089366</v>
      </c>
    </row>
    <row r="71" spans="1:25">
      <c r="A71" s="3">
        <v>44968</v>
      </c>
      <c r="B71" s="1">
        <v>4971.37</v>
      </c>
      <c r="C71" s="1">
        <v>5740</v>
      </c>
      <c r="D71" s="1">
        <v>768.63000000000011</v>
      </c>
      <c r="E71" s="1">
        <v>2354.7799999999997</v>
      </c>
      <c r="F71" s="1">
        <v>5060</v>
      </c>
      <c r="G71" s="1">
        <v>2705.2200000000003</v>
      </c>
      <c r="H71" s="1">
        <v>146</v>
      </c>
      <c r="I71" s="1">
        <v>840</v>
      </c>
      <c r="J71" s="1">
        <v>694</v>
      </c>
      <c r="K71" s="1">
        <v>773.33333333333326</v>
      </c>
      <c r="L71" s="1">
        <v>1000</v>
      </c>
      <c r="M71" s="1">
        <v>226.66666666666671</v>
      </c>
      <c r="N71" s="1">
        <v>2500</v>
      </c>
      <c r="O71" s="1">
        <v>12640</v>
      </c>
      <c r="P71" s="1">
        <v>4394.5166666666673</v>
      </c>
      <c r="Q71" s="1">
        <v>1894.5166666666671</v>
      </c>
      <c r="R71">
        <f>YEAR(tbl_daily[[#This Row],[Date]])</f>
        <v>2023</v>
      </c>
      <c r="S71" t="str">
        <f>TEXT(tbl_daily[[#This Row],[Date]],"mmmm")</f>
        <v>February</v>
      </c>
      <c r="T71">
        <f>MONTH(tbl_daily[[#This Row],[Date]])</f>
        <v>2</v>
      </c>
      <c r="U71" t="str">
        <f>"Q"&amp;ROUNDUP(MONTH(tbl_daily[[#This Row],[Date]])/3,0)</f>
        <v>Q1</v>
      </c>
      <c r="V71" t="str">
        <f>TEXT(tbl_daily[[#This Row],[Date]],"dddd")</f>
        <v>Saturday</v>
      </c>
      <c r="W71" t="str">
        <f t="shared" si="3"/>
        <v>Profitable</v>
      </c>
      <c r="X71">
        <f t="shared" si="4"/>
        <v>34.766745780590725</v>
      </c>
      <c r="Y71">
        <f t="shared" si="5"/>
        <v>14.988264767932494</v>
      </c>
    </row>
    <row r="72" spans="1:25">
      <c r="A72" s="3">
        <v>44969</v>
      </c>
      <c r="B72" s="1">
        <v>4268.6699999999992</v>
      </c>
      <c r="C72" s="1">
        <v>5330</v>
      </c>
      <c r="D72" s="1">
        <v>1061.3300000000008</v>
      </c>
      <c r="E72" s="1">
        <v>2169.0700000000002</v>
      </c>
      <c r="F72" s="1">
        <v>3210</v>
      </c>
      <c r="G72" s="1">
        <v>1040.9299999999998</v>
      </c>
      <c r="H72" s="1">
        <v>366.83000000000004</v>
      </c>
      <c r="I72" s="1">
        <v>3140</v>
      </c>
      <c r="J72" s="1">
        <v>2773.17</v>
      </c>
      <c r="K72" s="1">
        <v>540</v>
      </c>
      <c r="L72" s="1">
        <v>700</v>
      </c>
      <c r="M72" s="1">
        <v>160</v>
      </c>
      <c r="N72" s="1">
        <v>2500</v>
      </c>
      <c r="O72" s="1">
        <v>12380</v>
      </c>
      <c r="P72" s="1">
        <v>5035.43</v>
      </c>
      <c r="Q72" s="1">
        <v>2535.4300000000003</v>
      </c>
      <c r="R72">
        <f>YEAR(tbl_daily[[#This Row],[Date]])</f>
        <v>2023</v>
      </c>
      <c r="S72" t="str">
        <f>TEXT(tbl_daily[[#This Row],[Date]],"mmmm")</f>
        <v>February</v>
      </c>
      <c r="T72">
        <f>MONTH(tbl_daily[[#This Row],[Date]])</f>
        <v>2</v>
      </c>
      <c r="U72" t="str">
        <f>"Q"&amp;ROUNDUP(MONTH(tbl_daily[[#This Row],[Date]])/3,0)</f>
        <v>Q1</v>
      </c>
      <c r="V72" t="str">
        <f>TEXT(tbl_daily[[#This Row],[Date]],"dddd")</f>
        <v>Sunday</v>
      </c>
      <c r="W72" t="str">
        <f t="shared" si="3"/>
        <v>Profitable</v>
      </c>
      <c r="X72">
        <f t="shared" si="4"/>
        <v>40.673909531502431</v>
      </c>
      <c r="Y72">
        <f t="shared" si="5"/>
        <v>20.480048465266563</v>
      </c>
    </row>
    <row r="73" spans="1:25">
      <c r="A73" s="3">
        <v>44970</v>
      </c>
      <c r="B73" s="1">
        <v>4849.1200000000008</v>
      </c>
      <c r="C73" s="1">
        <v>4965</v>
      </c>
      <c r="D73" s="1">
        <v>115.8799999999992</v>
      </c>
      <c r="E73" s="1">
        <v>809.3000000000003</v>
      </c>
      <c r="F73" s="1">
        <v>1250</v>
      </c>
      <c r="G73" s="1">
        <v>440.6999999999997</v>
      </c>
      <c r="H73" s="1">
        <v>394.66</v>
      </c>
      <c r="I73" s="1">
        <v>1500</v>
      </c>
      <c r="J73" s="1">
        <v>1105.3399999999999</v>
      </c>
      <c r="K73" s="1">
        <v>606.66666666666663</v>
      </c>
      <c r="L73" s="1">
        <v>800</v>
      </c>
      <c r="M73" s="1">
        <v>193.33333333333337</v>
      </c>
      <c r="N73" s="1">
        <v>2500</v>
      </c>
      <c r="O73" s="1">
        <v>8515</v>
      </c>
      <c r="P73" s="1">
        <v>1855.253333333332</v>
      </c>
      <c r="Q73" s="1">
        <v>-644.74666666666781</v>
      </c>
      <c r="R73">
        <f>YEAR(tbl_daily[[#This Row],[Date]])</f>
        <v>2023</v>
      </c>
      <c r="S73" t="str">
        <f>TEXT(tbl_daily[[#This Row],[Date]],"mmmm")</f>
        <v>February</v>
      </c>
      <c r="T73">
        <f>MONTH(tbl_daily[[#This Row],[Date]])</f>
        <v>2</v>
      </c>
      <c r="U73" t="str">
        <f>"Q"&amp;ROUNDUP(MONTH(tbl_daily[[#This Row],[Date]])/3,0)</f>
        <v>Q1</v>
      </c>
      <c r="V73" t="str">
        <f>TEXT(tbl_daily[[#This Row],[Date]],"dddd")</f>
        <v>Monday</v>
      </c>
      <c r="W73" t="str">
        <f t="shared" si="3"/>
        <v>Loss</v>
      </c>
      <c r="X73">
        <f t="shared" si="4"/>
        <v>21.788060285770193</v>
      </c>
      <c r="Y73">
        <f t="shared" si="5"/>
        <v>-7.5718927383049657</v>
      </c>
    </row>
    <row r="74" spans="1:25">
      <c r="A74" s="3">
        <v>44971</v>
      </c>
      <c r="B74" s="1">
        <v>3762.5399999999991</v>
      </c>
      <c r="C74" s="1">
        <v>6140</v>
      </c>
      <c r="D74" s="1">
        <v>2377.4600000000009</v>
      </c>
      <c r="E74" s="1">
        <v>1332.43</v>
      </c>
      <c r="F74" s="1">
        <v>2250</v>
      </c>
      <c r="G74" s="1">
        <v>917.57</v>
      </c>
      <c r="H74" s="1">
        <v>329.45</v>
      </c>
      <c r="I74" s="1">
        <v>750</v>
      </c>
      <c r="J74" s="1">
        <v>420.55</v>
      </c>
      <c r="K74" s="1">
        <v>283.33333333333337</v>
      </c>
      <c r="L74" s="1">
        <v>360</v>
      </c>
      <c r="M74" s="1">
        <v>76.666666666666629</v>
      </c>
      <c r="N74" s="1">
        <v>2500</v>
      </c>
      <c r="O74" s="1">
        <v>9500</v>
      </c>
      <c r="P74" s="1">
        <v>3792.2466666666674</v>
      </c>
      <c r="Q74" s="1">
        <v>1292.2466666666674</v>
      </c>
      <c r="R74">
        <f>YEAR(tbl_daily[[#This Row],[Date]])</f>
        <v>2023</v>
      </c>
      <c r="S74" t="str">
        <f>TEXT(tbl_daily[[#This Row],[Date]],"mmmm")</f>
        <v>February</v>
      </c>
      <c r="T74">
        <f>MONTH(tbl_daily[[#This Row],[Date]])</f>
        <v>2</v>
      </c>
      <c r="U74" t="str">
        <f>"Q"&amp;ROUNDUP(MONTH(tbl_daily[[#This Row],[Date]])/3,0)</f>
        <v>Q1</v>
      </c>
      <c r="V74" t="str">
        <f>TEXT(tbl_daily[[#This Row],[Date]],"dddd")</f>
        <v>Tuesday</v>
      </c>
      <c r="W74" t="str">
        <f t="shared" si="3"/>
        <v>Profitable</v>
      </c>
      <c r="X74">
        <f t="shared" si="4"/>
        <v>39.918385964912289</v>
      </c>
      <c r="Y74">
        <f t="shared" si="5"/>
        <v>13.602596491228077</v>
      </c>
    </row>
    <row r="75" spans="1:25">
      <c r="A75" s="3">
        <v>44972</v>
      </c>
      <c r="B75" s="1">
        <v>4468.8750000000018</v>
      </c>
      <c r="C75" s="1">
        <v>5340</v>
      </c>
      <c r="D75" s="1">
        <v>871.12499999999829</v>
      </c>
      <c r="E75" s="1">
        <v>1325.55</v>
      </c>
      <c r="F75" s="1">
        <v>3000</v>
      </c>
      <c r="G75" s="1">
        <v>1674.45</v>
      </c>
      <c r="H75" s="1">
        <v>90</v>
      </c>
      <c r="I75" s="1">
        <v>0</v>
      </c>
      <c r="J75" s="1">
        <v>-90</v>
      </c>
      <c r="K75" s="1">
        <v>426.66666666666663</v>
      </c>
      <c r="L75" s="1">
        <v>550</v>
      </c>
      <c r="M75" s="1">
        <v>123.33333333333336</v>
      </c>
      <c r="N75" s="1">
        <v>2500</v>
      </c>
      <c r="O75" s="1">
        <v>8890</v>
      </c>
      <c r="P75" s="1">
        <v>2578.9083333333315</v>
      </c>
      <c r="Q75" s="1">
        <v>78.908333333331484</v>
      </c>
      <c r="R75">
        <f>YEAR(tbl_daily[[#This Row],[Date]])</f>
        <v>2023</v>
      </c>
      <c r="S75" t="str">
        <f>TEXT(tbl_daily[[#This Row],[Date]],"mmmm")</f>
        <v>February</v>
      </c>
      <c r="T75">
        <f>MONTH(tbl_daily[[#This Row],[Date]])</f>
        <v>2</v>
      </c>
      <c r="U75" t="str">
        <f>"Q"&amp;ROUNDUP(MONTH(tbl_daily[[#This Row],[Date]])/3,0)</f>
        <v>Q1</v>
      </c>
      <c r="V75" t="str">
        <f>TEXT(tbl_daily[[#This Row],[Date]],"dddd")</f>
        <v>Wednesday</v>
      </c>
      <c r="W75" t="str">
        <f t="shared" si="3"/>
        <v>Profitable</v>
      </c>
      <c r="X75">
        <f t="shared" si="4"/>
        <v>29.009092613423306</v>
      </c>
      <c r="Y75">
        <f t="shared" si="5"/>
        <v>0.88760779902510112</v>
      </c>
    </row>
    <row r="76" spans="1:25">
      <c r="A76" s="3">
        <v>44973</v>
      </c>
      <c r="B76" s="1">
        <v>4813.4049999999988</v>
      </c>
      <c r="C76" s="1">
        <v>6490</v>
      </c>
      <c r="D76" s="1">
        <v>1676.5950000000012</v>
      </c>
      <c r="E76" s="1">
        <v>1148.0999999999999</v>
      </c>
      <c r="F76" s="1">
        <v>2500</v>
      </c>
      <c r="G76" s="1">
        <v>1351.9</v>
      </c>
      <c r="H76" s="1">
        <v>174</v>
      </c>
      <c r="I76" s="1">
        <v>450</v>
      </c>
      <c r="J76" s="1">
        <v>276</v>
      </c>
      <c r="K76" s="1">
        <v>733.33333333333326</v>
      </c>
      <c r="L76" s="1">
        <v>950</v>
      </c>
      <c r="M76" s="1">
        <v>216.66666666666671</v>
      </c>
      <c r="N76" s="1">
        <v>2500</v>
      </c>
      <c r="O76" s="1">
        <v>10390</v>
      </c>
      <c r="P76" s="1">
        <v>3521.1616666666682</v>
      </c>
      <c r="Q76" s="1">
        <v>1021.1616666666678</v>
      </c>
      <c r="R76">
        <f>YEAR(tbl_daily[[#This Row],[Date]])</f>
        <v>2023</v>
      </c>
      <c r="S76" t="str">
        <f>TEXT(tbl_daily[[#This Row],[Date]],"mmmm")</f>
        <v>February</v>
      </c>
      <c r="T76">
        <f>MONTH(tbl_daily[[#This Row],[Date]])</f>
        <v>2</v>
      </c>
      <c r="U76" t="str">
        <f>"Q"&amp;ROUNDUP(MONTH(tbl_daily[[#This Row],[Date]])/3,0)</f>
        <v>Q1</v>
      </c>
      <c r="V76" t="str">
        <f>TEXT(tbl_daily[[#This Row],[Date]],"dddd")</f>
        <v>Thursday</v>
      </c>
      <c r="W76" t="str">
        <f t="shared" si="3"/>
        <v>Profitable</v>
      </c>
      <c r="X76">
        <f t="shared" si="4"/>
        <v>33.8899101700353</v>
      </c>
      <c r="Y76">
        <f t="shared" si="5"/>
        <v>9.8283124799486803</v>
      </c>
    </row>
    <row r="77" spans="1:25">
      <c r="A77" s="3">
        <v>44974</v>
      </c>
      <c r="B77" s="1">
        <v>3913.3449999999984</v>
      </c>
      <c r="C77" s="1">
        <v>6270</v>
      </c>
      <c r="D77" s="1">
        <v>2356.6550000000016</v>
      </c>
      <c r="E77" s="1">
        <v>1537.87</v>
      </c>
      <c r="F77" s="1">
        <v>3250</v>
      </c>
      <c r="G77" s="1">
        <v>1712.13</v>
      </c>
      <c r="H77" s="1">
        <v>230</v>
      </c>
      <c r="I77" s="1">
        <v>590</v>
      </c>
      <c r="J77" s="1">
        <v>360</v>
      </c>
      <c r="K77" s="1">
        <v>956.66666666666674</v>
      </c>
      <c r="L77" s="1">
        <v>1210</v>
      </c>
      <c r="M77" s="1">
        <v>253.33333333333329</v>
      </c>
      <c r="N77" s="1">
        <v>2100</v>
      </c>
      <c r="O77" s="1">
        <v>11320</v>
      </c>
      <c r="P77" s="1">
        <v>4682.1183333333347</v>
      </c>
      <c r="Q77" s="1">
        <v>2582.1183333333347</v>
      </c>
      <c r="R77">
        <f>YEAR(tbl_daily[[#This Row],[Date]])</f>
        <v>2023</v>
      </c>
      <c r="S77" t="str">
        <f>TEXT(tbl_daily[[#This Row],[Date]],"mmmm")</f>
        <v>February</v>
      </c>
      <c r="T77">
        <f>MONTH(tbl_daily[[#This Row],[Date]])</f>
        <v>2</v>
      </c>
      <c r="U77" t="str">
        <f>"Q"&amp;ROUNDUP(MONTH(tbl_daily[[#This Row],[Date]])/3,0)</f>
        <v>Q1</v>
      </c>
      <c r="V77" t="str">
        <f>TEXT(tbl_daily[[#This Row],[Date]],"dddd")</f>
        <v>Friday</v>
      </c>
      <c r="W77" t="str">
        <f t="shared" si="3"/>
        <v>Profitable</v>
      </c>
      <c r="X77">
        <f t="shared" si="4"/>
        <v>41.361469375736171</v>
      </c>
      <c r="Y77">
        <f t="shared" si="5"/>
        <v>22.810232626619566</v>
      </c>
    </row>
    <row r="78" spans="1:25">
      <c r="A78" s="3">
        <v>44975</v>
      </c>
      <c r="B78" s="1">
        <v>4915.9750000000004</v>
      </c>
      <c r="C78" s="1">
        <v>6430</v>
      </c>
      <c r="D78" s="1">
        <v>1514.0249999999996</v>
      </c>
      <c r="E78" s="1">
        <v>1471.0500000000002</v>
      </c>
      <c r="F78" s="1">
        <v>2750</v>
      </c>
      <c r="G78" s="1">
        <v>1278.9499999999998</v>
      </c>
      <c r="H78" s="1">
        <v>146</v>
      </c>
      <c r="I78" s="1">
        <v>900</v>
      </c>
      <c r="J78" s="1">
        <v>754</v>
      </c>
      <c r="K78" s="1">
        <v>813.33333333333326</v>
      </c>
      <c r="L78" s="1">
        <v>1170</v>
      </c>
      <c r="M78" s="1">
        <v>356.66666666666674</v>
      </c>
      <c r="N78" s="1">
        <v>2100</v>
      </c>
      <c r="O78" s="1">
        <v>11250</v>
      </c>
      <c r="P78" s="1">
        <v>3903.6416666666664</v>
      </c>
      <c r="Q78" s="1">
        <v>1803.6416666666664</v>
      </c>
      <c r="R78">
        <f>YEAR(tbl_daily[[#This Row],[Date]])</f>
        <v>2023</v>
      </c>
      <c r="S78" t="str">
        <f>TEXT(tbl_daily[[#This Row],[Date]],"mmmm")</f>
        <v>February</v>
      </c>
      <c r="T78">
        <f>MONTH(tbl_daily[[#This Row],[Date]])</f>
        <v>2</v>
      </c>
      <c r="U78" t="str">
        <f>"Q"&amp;ROUNDUP(MONTH(tbl_daily[[#This Row],[Date]])/3,0)</f>
        <v>Q1</v>
      </c>
      <c r="V78" t="str">
        <f>TEXT(tbl_daily[[#This Row],[Date]],"dddd")</f>
        <v>Saturday</v>
      </c>
      <c r="W78" t="str">
        <f t="shared" si="3"/>
        <v>Profitable</v>
      </c>
      <c r="X78">
        <f t="shared" si="4"/>
        <v>34.699037037037037</v>
      </c>
      <c r="Y78">
        <f t="shared" si="5"/>
        <v>16.032370370370369</v>
      </c>
    </row>
    <row r="79" spans="1:25">
      <c r="A79" s="3">
        <v>44976</v>
      </c>
      <c r="B79" s="1">
        <v>3518.9049999999988</v>
      </c>
      <c r="C79" s="1">
        <v>3860</v>
      </c>
      <c r="D79" s="1">
        <v>341.09500000000116</v>
      </c>
      <c r="E79" s="1">
        <v>1843.5</v>
      </c>
      <c r="F79" s="1">
        <v>3750</v>
      </c>
      <c r="G79" s="1">
        <v>1906.5</v>
      </c>
      <c r="H79" s="1">
        <v>191.83</v>
      </c>
      <c r="I79" s="1">
        <v>500</v>
      </c>
      <c r="J79" s="1">
        <v>308.16999999999996</v>
      </c>
      <c r="K79" s="1">
        <v>448.33333333333326</v>
      </c>
      <c r="L79" s="1">
        <v>630</v>
      </c>
      <c r="M79" s="1">
        <v>181.66666666666669</v>
      </c>
      <c r="N79" s="1">
        <v>2100</v>
      </c>
      <c r="O79" s="1">
        <v>8740</v>
      </c>
      <c r="P79" s="1">
        <v>2737.4316666666682</v>
      </c>
      <c r="Q79" s="1">
        <v>637.43166666666775</v>
      </c>
      <c r="R79">
        <f>YEAR(tbl_daily[[#This Row],[Date]])</f>
        <v>2023</v>
      </c>
      <c r="S79" t="str">
        <f>TEXT(tbl_daily[[#This Row],[Date]],"mmmm")</f>
        <v>February</v>
      </c>
      <c r="T79">
        <f>MONTH(tbl_daily[[#This Row],[Date]])</f>
        <v>2</v>
      </c>
      <c r="U79" t="str">
        <f>"Q"&amp;ROUNDUP(MONTH(tbl_daily[[#This Row],[Date]])/3,0)</f>
        <v>Q1</v>
      </c>
      <c r="V79" t="str">
        <f>TEXT(tbl_daily[[#This Row],[Date]],"dddd")</f>
        <v>Sunday</v>
      </c>
      <c r="W79" t="str">
        <f t="shared" si="3"/>
        <v>Profitable</v>
      </c>
      <c r="X79">
        <f t="shared" si="4"/>
        <v>31.320728451563713</v>
      </c>
      <c r="Y79">
        <f t="shared" si="5"/>
        <v>7.2932684973302946</v>
      </c>
    </row>
    <row r="80" spans="1:25">
      <c r="A80" s="3">
        <v>44977</v>
      </c>
      <c r="B80" s="1">
        <v>4352.7250000000004</v>
      </c>
      <c r="C80" s="1">
        <v>4890</v>
      </c>
      <c r="D80" s="1">
        <v>537.27499999999964</v>
      </c>
      <c r="E80" s="1">
        <v>1825.5</v>
      </c>
      <c r="F80" s="1">
        <v>3500</v>
      </c>
      <c r="G80" s="1">
        <v>1674.4999999999998</v>
      </c>
      <c r="H80" s="1">
        <v>258</v>
      </c>
      <c r="I80" s="1">
        <v>500</v>
      </c>
      <c r="J80" s="1">
        <v>242</v>
      </c>
      <c r="K80" s="1">
        <v>560</v>
      </c>
      <c r="L80" s="1">
        <v>830</v>
      </c>
      <c r="M80" s="1">
        <v>270</v>
      </c>
      <c r="N80" s="1">
        <v>2100</v>
      </c>
      <c r="O80" s="1">
        <v>9720</v>
      </c>
      <c r="P80" s="1">
        <v>2723.7749999999996</v>
      </c>
      <c r="Q80" s="1">
        <v>623.77499999999964</v>
      </c>
      <c r="R80">
        <f>YEAR(tbl_daily[[#This Row],[Date]])</f>
        <v>2023</v>
      </c>
      <c r="S80" t="str">
        <f>TEXT(tbl_daily[[#This Row],[Date]],"mmmm")</f>
        <v>February</v>
      </c>
      <c r="T80">
        <f>MONTH(tbl_daily[[#This Row],[Date]])</f>
        <v>2</v>
      </c>
      <c r="U80" t="str">
        <f>"Q"&amp;ROUNDUP(MONTH(tbl_daily[[#This Row],[Date]])/3,0)</f>
        <v>Q1</v>
      </c>
      <c r="V80" t="str">
        <f>TEXT(tbl_daily[[#This Row],[Date]],"dddd")</f>
        <v>Monday</v>
      </c>
      <c r="W80" t="str">
        <f t="shared" si="3"/>
        <v>Profitable</v>
      </c>
      <c r="X80">
        <f t="shared" si="4"/>
        <v>28.022376543209869</v>
      </c>
      <c r="Y80">
        <f t="shared" si="5"/>
        <v>6.4174382716049347</v>
      </c>
    </row>
    <row r="81" spans="1:25">
      <c r="A81" s="3">
        <v>44978</v>
      </c>
      <c r="B81" s="1">
        <v>4391.8999999999996</v>
      </c>
      <c r="C81" s="1">
        <v>6440</v>
      </c>
      <c r="D81" s="1">
        <v>2048.1000000000004</v>
      </c>
      <c r="E81" s="1">
        <v>1207.6999999999996</v>
      </c>
      <c r="F81" s="1">
        <v>1750</v>
      </c>
      <c r="G81" s="1">
        <v>542.30000000000041</v>
      </c>
      <c r="H81" s="1">
        <v>90</v>
      </c>
      <c r="I81" s="1">
        <v>600</v>
      </c>
      <c r="J81" s="1">
        <v>510</v>
      </c>
      <c r="K81" s="1">
        <v>533.33333333333326</v>
      </c>
      <c r="L81" s="1">
        <v>760</v>
      </c>
      <c r="M81" s="1">
        <v>226.66666666666671</v>
      </c>
      <c r="N81" s="1">
        <v>2100</v>
      </c>
      <c r="O81" s="1">
        <v>9550</v>
      </c>
      <c r="P81" s="1">
        <v>3327.0666666666675</v>
      </c>
      <c r="Q81" s="1">
        <v>1227.0666666666675</v>
      </c>
      <c r="R81">
        <f>YEAR(tbl_daily[[#This Row],[Date]])</f>
        <v>2023</v>
      </c>
      <c r="S81" t="str">
        <f>TEXT(tbl_daily[[#This Row],[Date]],"mmmm")</f>
        <v>February</v>
      </c>
      <c r="T81">
        <f>MONTH(tbl_daily[[#This Row],[Date]])</f>
        <v>2</v>
      </c>
      <c r="U81" t="str">
        <f>"Q"&amp;ROUNDUP(MONTH(tbl_daily[[#This Row],[Date]])/3,0)</f>
        <v>Q1</v>
      </c>
      <c r="V81" t="str">
        <f>TEXT(tbl_daily[[#This Row],[Date]],"dddd")</f>
        <v>Tuesday</v>
      </c>
      <c r="W81" t="str">
        <f t="shared" si="3"/>
        <v>Profitable</v>
      </c>
      <c r="X81">
        <f t="shared" si="4"/>
        <v>34.838394415357776</v>
      </c>
      <c r="Y81">
        <f t="shared" si="5"/>
        <v>12.848865619546256</v>
      </c>
    </row>
    <row r="82" spans="1:25">
      <c r="A82" s="3">
        <v>44979</v>
      </c>
      <c r="B82" s="1">
        <v>4377.3300000000008</v>
      </c>
      <c r="C82" s="1">
        <v>5280</v>
      </c>
      <c r="D82" s="1">
        <v>902.66999999999916</v>
      </c>
      <c r="E82" s="1">
        <v>588.9000000000002</v>
      </c>
      <c r="F82" s="1">
        <v>780</v>
      </c>
      <c r="G82" s="1">
        <v>191.0999999999998</v>
      </c>
      <c r="H82" s="1">
        <v>118</v>
      </c>
      <c r="I82" s="1">
        <v>450</v>
      </c>
      <c r="J82" s="1">
        <v>332</v>
      </c>
      <c r="K82" s="1">
        <v>528.33333333333326</v>
      </c>
      <c r="L82" s="1">
        <v>740</v>
      </c>
      <c r="M82" s="1">
        <v>211.66666666666671</v>
      </c>
      <c r="N82" s="1">
        <v>2100</v>
      </c>
      <c r="O82" s="1">
        <v>7250</v>
      </c>
      <c r="P82" s="1">
        <v>1637.4366666666658</v>
      </c>
      <c r="Q82" s="1">
        <v>-462.56333333333419</v>
      </c>
      <c r="R82">
        <f>YEAR(tbl_daily[[#This Row],[Date]])</f>
        <v>2023</v>
      </c>
      <c r="S82" t="str">
        <f>TEXT(tbl_daily[[#This Row],[Date]],"mmmm")</f>
        <v>February</v>
      </c>
      <c r="T82">
        <f>MONTH(tbl_daily[[#This Row],[Date]])</f>
        <v>2</v>
      </c>
      <c r="U82" t="str">
        <f>"Q"&amp;ROUNDUP(MONTH(tbl_daily[[#This Row],[Date]])/3,0)</f>
        <v>Q1</v>
      </c>
      <c r="V82" t="str">
        <f>TEXT(tbl_daily[[#This Row],[Date]],"dddd")</f>
        <v>Wednesday</v>
      </c>
      <c r="W82" t="str">
        <f t="shared" si="3"/>
        <v>Loss</v>
      </c>
      <c r="X82">
        <f t="shared" si="4"/>
        <v>22.58533333333332</v>
      </c>
      <c r="Y82">
        <f t="shared" si="5"/>
        <v>-6.3801839080459892</v>
      </c>
    </row>
    <row r="83" spans="1:25">
      <c r="A83" s="3">
        <v>44980</v>
      </c>
      <c r="B83" s="1">
        <v>4742.619999999999</v>
      </c>
      <c r="C83" s="1">
        <v>7030</v>
      </c>
      <c r="D83" s="1">
        <v>2287.380000000001</v>
      </c>
      <c r="E83" s="1">
        <v>1435.2</v>
      </c>
      <c r="F83" s="1">
        <v>2500</v>
      </c>
      <c r="G83" s="1">
        <v>1064.8</v>
      </c>
      <c r="H83" s="1">
        <v>174.82999999999998</v>
      </c>
      <c r="I83" s="1">
        <v>950</v>
      </c>
      <c r="J83" s="1">
        <v>775.17000000000007</v>
      </c>
      <c r="K83" s="1">
        <v>881.66666666666652</v>
      </c>
      <c r="L83" s="1">
        <v>1260</v>
      </c>
      <c r="M83" s="1">
        <v>378.33333333333337</v>
      </c>
      <c r="N83" s="1">
        <v>2100</v>
      </c>
      <c r="O83" s="1">
        <v>11740</v>
      </c>
      <c r="P83" s="1">
        <v>4505.6833333333343</v>
      </c>
      <c r="Q83" s="1">
        <v>2405.6833333333343</v>
      </c>
      <c r="R83">
        <f>YEAR(tbl_daily[[#This Row],[Date]])</f>
        <v>2023</v>
      </c>
      <c r="S83" t="str">
        <f>TEXT(tbl_daily[[#This Row],[Date]],"mmmm")</f>
        <v>February</v>
      </c>
      <c r="T83">
        <f>MONTH(tbl_daily[[#This Row],[Date]])</f>
        <v>2</v>
      </c>
      <c r="U83" t="str">
        <f>"Q"&amp;ROUNDUP(MONTH(tbl_daily[[#This Row],[Date]])/3,0)</f>
        <v>Q1</v>
      </c>
      <c r="V83" t="str">
        <f>TEXT(tbl_daily[[#This Row],[Date]],"dddd")</f>
        <v>Thursday</v>
      </c>
      <c r="W83" t="str">
        <f t="shared" si="3"/>
        <v>Profitable</v>
      </c>
      <c r="X83">
        <f t="shared" si="4"/>
        <v>38.378904031800118</v>
      </c>
      <c r="Y83">
        <f t="shared" si="5"/>
        <v>20.491340147643392</v>
      </c>
    </row>
    <row r="84" spans="1:25">
      <c r="A84" s="3">
        <v>44981</v>
      </c>
      <c r="B84" s="1">
        <v>4726.1950000000024</v>
      </c>
      <c r="C84" s="1">
        <v>6730</v>
      </c>
      <c r="D84" s="1">
        <v>2003.8049999999976</v>
      </c>
      <c r="E84" s="1">
        <v>2676.15</v>
      </c>
      <c r="F84" s="1">
        <v>5000</v>
      </c>
      <c r="G84" s="1">
        <v>2323.85</v>
      </c>
      <c r="H84" s="1">
        <v>332.83000000000004</v>
      </c>
      <c r="I84" s="1">
        <v>1300</v>
      </c>
      <c r="J84" s="1">
        <v>967.17</v>
      </c>
      <c r="K84" s="1">
        <v>836.66666666666674</v>
      </c>
      <c r="L84" s="1">
        <v>1210</v>
      </c>
      <c r="M84" s="1">
        <v>373.33333333333326</v>
      </c>
      <c r="N84" s="1">
        <v>2100</v>
      </c>
      <c r="O84" s="1">
        <v>14240</v>
      </c>
      <c r="P84" s="1">
        <v>5668.1583333333301</v>
      </c>
      <c r="Q84" s="1">
        <v>3568.1583333333301</v>
      </c>
      <c r="R84">
        <f>YEAR(tbl_daily[[#This Row],[Date]])</f>
        <v>2023</v>
      </c>
      <c r="S84" t="str">
        <f>TEXT(tbl_daily[[#This Row],[Date]],"mmmm")</f>
        <v>February</v>
      </c>
      <c r="T84">
        <f>MONTH(tbl_daily[[#This Row],[Date]])</f>
        <v>2</v>
      </c>
      <c r="U84" t="str">
        <f>"Q"&amp;ROUNDUP(MONTH(tbl_daily[[#This Row],[Date]])/3,0)</f>
        <v>Q1</v>
      </c>
      <c r="V84" t="str">
        <f>TEXT(tbl_daily[[#This Row],[Date]],"dddd")</f>
        <v>Friday</v>
      </c>
      <c r="W84" t="str">
        <f t="shared" si="3"/>
        <v>Profitable</v>
      </c>
      <c r="X84">
        <f t="shared" si="4"/>
        <v>39.804482677902598</v>
      </c>
      <c r="Y84">
        <f t="shared" si="5"/>
        <v>25.057291666666643</v>
      </c>
    </row>
    <row r="85" spans="1:25">
      <c r="A85" s="3">
        <v>44982</v>
      </c>
      <c r="B85" s="1">
        <v>4177.1499999999978</v>
      </c>
      <c r="C85" s="1">
        <v>6110</v>
      </c>
      <c r="D85" s="1">
        <v>1932.8500000000024</v>
      </c>
      <c r="E85" s="1">
        <v>1144.9999999999998</v>
      </c>
      <c r="F85" s="1">
        <v>2250</v>
      </c>
      <c r="G85" s="1">
        <v>1105.0000000000002</v>
      </c>
      <c r="H85" s="1">
        <v>90</v>
      </c>
      <c r="I85" s="1">
        <v>300</v>
      </c>
      <c r="J85" s="1">
        <v>210</v>
      </c>
      <c r="K85" s="1">
        <v>668.33333333333326</v>
      </c>
      <c r="L85" s="1">
        <v>930</v>
      </c>
      <c r="M85" s="1">
        <v>261.66666666666674</v>
      </c>
      <c r="N85" s="1">
        <v>2100</v>
      </c>
      <c r="O85" s="1">
        <v>9590</v>
      </c>
      <c r="P85" s="1">
        <v>3509.5166666666692</v>
      </c>
      <c r="Q85" s="1">
        <v>1409.5166666666692</v>
      </c>
      <c r="R85">
        <f>YEAR(tbl_daily[[#This Row],[Date]])</f>
        <v>2023</v>
      </c>
      <c r="S85" t="str">
        <f>TEXT(tbl_daily[[#This Row],[Date]],"mmmm")</f>
        <v>February</v>
      </c>
      <c r="T85">
        <f>MONTH(tbl_daily[[#This Row],[Date]])</f>
        <v>2</v>
      </c>
      <c r="U85" t="str">
        <f>"Q"&amp;ROUNDUP(MONTH(tbl_daily[[#This Row],[Date]])/3,0)</f>
        <v>Q1</v>
      </c>
      <c r="V85" t="str">
        <f>TEXT(tbl_daily[[#This Row],[Date]],"dddd")</f>
        <v>Saturday</v>
      </c>
      <c r="W85" t="str">
        <f t="shared" si="3"/>
        <v>Profitable</v>
      </c>
      <c r="X85">
        <f t="shared" si="4"/>
        <v>36.595585679527311</v>
      </c>
      <c r="Y85">
        <f t="shared" si="5"/>
        <v>14.697775460549209</v>
      </c>
    </row>
    <row r="86" spans="1:25">
      <c r="A86" s="3">
        <v>44983</v>
      </c>
      <c r="B86" s="1">
        <v>4279.5049999999992</v>
      </c>
      <c r="C86" s="1">
        <v>5810</v>
      </c>
      <c r="D86" s="1">
        <v>1530.4950000000008</v>
      </c>
      <c r="E86" s="1">
        <v>1597.8</v>
      </c>
      <c r="F86" s="1">
        <v>2750</v>
      </c>
      <c r="G86" s="1">
        <v>1152.2</v>
      </c>
      <c r="H86" s="1">
        <v>202</v>
      </c>
      <c r="I86" s="1">
        <v>750</v>
      </c>
      <c r="J86" s="1">
        <v>548</v>
      </c>
      <c r="K86" s="1">
        <v>648.33333333333326</v>
      </c>
      <c r="L86" s="1">
        <v>860</v>
      </c>
      <c r="M86" s="1">
        <v>211.66666666666671</v>
      </c>
      <c r="N86" s="1">
        <v>2100</v>
      </c>
      <c r="O86" s="1">
        <v>10170</v>
      </c>
      <c r="P86" s="1">
        <v>3442.3616666666676</v>
      </c>
      <c r="Q86" s="1">
        <v>1342.3616666666676</v>
      </c>
      <c r="R86">
        <f>YEAR(tbl_daily[[#This Row],[Date]])</f>
        <v>2023</v>
      </c>
      <c r="S86" t="str">
        <f>TEXT(tbl_daily[[#This Row],[Date]],"mmmm")</f>
        <v>February</v>
      </c>
      <c r="T86">
        <f>MONTH(tbl_daily[[#This Row],[Date]])</f>
        <v>2</v>
      </c>
      <c r="U86" t="str">
        <f>"Q"&amp;ROUNDUP(MONTH(tbl_daily[[#This Row],[Date]])/3,0)</f>
        <v>Q1</v>
      </c>
      <c r="V86" t="str">
        <f>TEXT(tbl_daily[[#This Row],[Date]],"dddd")</f>
        <v>Sunday</v>
      </c>
      <c r="W86" t="str">
        <f t="shared" si="3"/>
        <v>Profitable</v>
      </c>
      <c r="X86">
        <f t="shared" si="4"/>
        <v>33.848197312356618</v>
      </c>
      <c r="Y86">
        <f t="shared" si="5"/>
        <v>13.199229760734193</v>
      </c>
    </row>
    <row r="87" spans="1:25">
      <c r="A87" s="3">
        <v>44984</v>
      </c>
      <c r="B87" s="1">
        <v>5187.4950000000008</v>
      </c>
      <c r="C87" s="1">
        <v>5880</v>
      </c>
      <c r="D87" s="1">
        <v>692.5049999999992</v>
      </c>
      <c r="E87" s="1">
        <v>1923.7</v>
      </c>
      <c r="F87" s="1">
        <v>4000</v>
      </c>
      <c r="G87" s="1">
        <v>2076.3000000000002</v>
      </c>
      <c r="H87" s="1">
        <v>174</v>
      </c>
      <c r="I87" s="1">
        <v>750</v>
      </c>
      <c r="J87" s="1">
        <v>576</v>
      </c>
      <c r="K87" s="1">
        <v>726.66666666666652</v>
      </c>
      <c r="L87" s="1">
        <v>1020</v>
      </c>
      <c r="M87" s="1">
        <v>293.33333333333337</v>
      </c>
      <c r="N87" s="1">
        <v>2100</v>
      </c>
      <c r="O87" s="1">
        <v>11650</v>
      </c>
      <c r="P87" s="1">
        <v>3638.1383333333329</v>
      </c>
      <c r="Q87" s="1">
        <v>1538.1383333333329</v>
      </c>
      <c r="R87">
        <f>YEAR(tbl_daily[[#This Row],[Date]])</f>
        <v>2023</v>
      </c>
      <c r="S87" t="str">
        <f>TEXT(tbl_daily[[#This Row],[Date]],"mmmm")</f>
        <v>February</v>
      </c>
      <c r="T87">
        <f>MONTH(tbl_daily[[#This Row],[Date]])</f>
        <v>2</v>
      </c>
      <c r="U87" t="str">
        <f>"Q"&amp;ROUNDUP(MONTH(tbl_daily[[#This Row],[Date]])/3,0)</f>
        <v>Q1</v>
      </c>
      <c r="V87" t="str">
        <f>TEXT(tbl_daily[[#This Row],[Date]],"dddd")</f>
        <v>Monday</v>
      </c>
      <c r="W87" t="str">
        <f t="shared" si="3"/>
        <v>Profitable</v>
      </c>
      <c r="X87">
        <f t="shared" si="4"/>
        <v>31.228655221745345</v>
      </c>
      <c r="Y87">
        <f t="shared" si="5"/>
        <v>13.202904148783972</v>
      </c>
    </row>
    <row r="88" spans="1:25">
      <c r="A88" s="3">
        <v>44985</v>
      </c>
      <c r="B88" s="1">
        <v>4406.16</v>
      </c>
      <c r="C88" s="1">
        <v>4780</v>
      </c>
      <c r="D88" s="1">
        <v>373.84000000000015</v>
      </c>
      <c r="E88" s="1">
        <v>971.74999999999989</v>
      </c>
      <c r="F88" s="1">
        <v>2000</v>
      </c>
      <c r="G88" s="1">
        <v>1028.2500000000002</v>
      </c>
      <c r="H88" s="1">
        <v>202</v>
      </c>
      <c r="I88" s="1">
        <v>600</v>
      </c>
      <c r="J88" s="1">
        <v>398</v>
      </c>
      <c r="K88" s="1">
        <v>515</v>
      </c>
      <c r="L88" s="1">
        <v>720</v>
      </c>
      <c r="M88" s="1">
        <v>205</v>
      </c>
      <c r="N88" s="1">
        <v>2100</v>
      </c>
      <c r="O88" s="1">
        <v>8100</v>
      </c>
      <c r="P88" s="1">
        <v>2005.0900000000004</v>
      </c>
      <c r="Q88" s="1">
        <v>-94.909999999999627</v>
      </c>
      <c r="R88">
        <f>YEAR(tbl_daily[[#This Row],[Date]])</f>
        <v>2023</v>
      </c>
      <c r="S88" t="str">
        <f>TEXT(tbl_daily[[#This Row],[Date]],"mmmm")</f>
        <v>February</v>
      </c>
      <c r="T88">
        <f>MONTH(tbl_daily[[#This Row],[Date]])</f>
        <v>2</v>
      </c>
      <c r="U88" t="str">
        <f>"Q"&amp;ROUNDUP(MONTH(tbl_daily[[#This Row],[Date]])/3,0)</f>
        <v>Q1</v>
      </c>
      <c r="V88" t="str">
        <f>TEXT(tbl_daily[[#This Row],[Date]],"dddd")</f>
        <v>Tuesday</v>
      </c>
      <c r="W88" t="str">
        <f t="shared" si="3"/>
        <v>Loss</v>
      </c>
      <c r="X88">
        <f t="shared" si="4"/>
        <v>24.754197530864204</v>
      </c>
      <c r="Y88">
        <f t="shared" si="5"/>
        <v>-1.1717283950617239</v>
      </c>
    </row>
    <row r="89" spans="1:25">
      <c r="A89" s="3">
        <v>44986</v>
      </c>
      <c r="B89" s="1">
        <v>4196.58</v>
      </c>
      <c r="C89" s="1">
        <v>6830</v>
      </c>
      <c r="D89" s="1">
        <v>2633.42</v>
      </c>
      <c r="E89" s="1">
        <v>1597.5</v>
      </c>
      <c r="F89" s="1">
        <v>2250</v>
      </c>
      <c r="G89" s="1">
        <v>652.5</v>
      </c>
      <c r="H89" s="1">
        <v>354</v>
      </c>
      <c r="I89" s="1">
        <v>1650</v>
      </c>
      <c r="J89" s="1">
        <v>1296</v>
      </c>
      <c r="K89" s="1">
        <v>909.16666666666652</v>
      </c>
      <c r="L89" s="1">
        <v>1160</v>
      </c>
      <c r="M89" s="1">
        <v>250.83333333333337</v>
      </c>
      <c r="N89" s="1">
        <v>2100</v>
      </c>
      <c r="O89" s="1">
        <v>11890</v>
      </c>
      <c r="P89" s="1">
        <v>4832.7533333333331</v>
      </c>
      <c r="Q89" s="1">
        <v>2732.7533333333331</v>
      </c>
      <c r="R89">
        <f>YEAR(tbl_daily[[#This Row],[Date]])</f>
        <v>2023</v>
      </c>
      <c r="S89" t="str">
        <f>TEXT(tbl_daily[[#This Row],[Date]],"mmmm")</f>
        <v>March</v>
      </c>
      <c r="T89">
        <f>MONTH(tbl_daily[[#This Row],[Date]])</f>
        <v>3</v>
      </c>
      <c r="U89" t="str">
        <f>"Q"&amp;ROUNDUP(MONTH(tbl_daily[[#This Row],[Date]])/3,0)</f>
        <v>Q1</v>
      </c>
      <c r="V89" t="str">
        <f>TEXT(tbl_daily[[#This Row],[Date]],"dddd")</f>
        <v>Wednesday</v>
      </c>
      <c r="W89" t="str">
        <f t="shared" si="3"/>
        <v>Profitable</v>
      </c>
      <c r="X89">
        <f t="shared" si="4"/>
        <v>40.645528455284548</v>
      </c>
      <c r="Y89">
        <f t="shared" si="5"/>
        <v>22.983627698345945</v>
      </c>
    </row>
    <row r="90" spans="1:25">
      <c r="A90" s="3">
        <v>44987</v>
      </c>
      <c r="B90" s="1">
        <v>5623.8349999999982</v>
      </c>
      <c r="C90" s="1">
        <v>7880</v>
      </c>
      <c r="D90" s="1">
        <v>2256.1650000000018</v>
      </c>
      <c r="E90" s="1">
        <v>744.59999999999968</v>
      </c>
      <c r="F90" s="1">
        <v>1500</v>
      </c>
      <c r="G90" s="1">
        <v>755.40000000000032</v>
      </c>
      <c r="H90" s="1">
        <v>90</v>
      </c>
      <c r="I90" s="1">
        <v>0</v>
      </c>
      <c r="J90" s="1">
        <v>-90</v>
      </c>
      <c r="K90" s="1">
        <v>692.5</v>
      </c>
      <c r="L90" s="1">
        <v>880</v>
      </c>
      <c r="M90" s="1">
        <v>187.5</v>
      </c>
      <c r="N90" s="1">
        <v>2100</v>
      </c>
      <c r="O90" s="1">
        <v>10260</v>
      </c>
      <c r="P90" s="1">
        <v>3109.0650000000023</v>
      </c>
      <c r="Q90" s="1">
        <v>1009.0650000000024</v>
      </c>
      <c r="R90">
        <f>YEAR(tbl_daily[[#This Row],[Date]])</f>
        <v>2023</v>
      </c>
      <c r="S90" t="str">
        <f>TEXT(tbl_daily[[#This Row],[Date]],"mmmm")</f>
        <v>March</v>
      </c>
      <c r="T90">
        <f>MONTH(tbl_daily[[#This Row],[Date]])</f>
        <v>3</v>
      </c>
      <c r="U90" t="str">
        <f>"Q"&amp;ROUNDUP(MONTH(tbl_daily[[#This Row],[Date]])/3,0)</f>
        <v>Q1</v>
      </c>
      <c r="V90" t="str">
        <f>TEXT(tbl_daily[[#This Row],[Date]],"dddd")</f>
        <v>Thursday</v>
      </c>
      <c r="W90" t="str">
        <f t="shared" si="3"/>
        <v>Profitable</v>
      </c>
      <c r="X90">
        <f t="shared" si="4"/>
        <v>30.302777777777802</v>
      </c>
      <c r="Y90">
        <f t="shared" si="5"/>
        <v>9.8349415204678596</v>
      </c>
    </row>
    <row r="91" spans="1:25">
      <c r="A91" s="3">
        <v>44988</v>
      </c>
      <c r="B91" s="1">
        <v>5633.8700000000017</v>
      </c>
      <c r="C91" s="1">
        <v>7840</v>
      </c>
      <c r="D91" s="1">
        <v>2206.1299999999983</v>
      </c>
      <c r="E91" s="1">
        <v>3144.4</v>
      </c>
      <c r="F91" s="1">
        <v>5000</v>
      </c>
      <c r="G91" s="1">
        <v>1855.6</v>
      </c>
      <c r="H91" s="1">
        <v>575.6</v>
      </c>
      <c r="I91" s="1">
        <v>3650</v>
      </c>
      <c r="J91" s="1">
        <v>3074.4</v>
      </c>
      <c r="K91" s="1">
        <v>929.16666666666652</v>
      </c>
      <c r="L91" s="1">
        <v>1000</v>
      </c>
      <c r="M91" s="1">
        <v>70.833333333333371</v>
      </c>
      <c r="N91" s="1">
        <v>2100</v>
      </c>
      <c r="O91" s="1">
        <v>17490</v>
      </c>
      <c r="P91" s="1">
        <v>7206.9633333333313</v>
      </c>
      <c r="Q91" s="1">
        <v>5106.9633333333304</v>
      </c>
      <c r="R91">
        <f>YEAR(tbl_daily[[#This Row],[Date]])</f>
        <v>2023</v>
      </c>
      <c r="S91" t="str">
        <f>TEXT(tbl_daily[[#This Row],[Date]],"mmmm")</f>
        <v>March</v>
      </c>
      <c r="T91">
        <f>MONTH(tbl_daily[[#This Row],[Date]])</f>
        <v>3</v>
      </c>
      <c r="U91" t="str">
        <f>"Q"&amp;ROUNDUP(MONTH(tbl_daily[[#This Row],[Date]])/3,0)</f>
        <v>Q1</v>
      </c>
      <c r="V91" t="str">
        <f>TEXT(tbl_daily[[#This Row],[Date]],"dddd")</f>
        <v>Friday</v>
      </c>
      <c r="W91" t="str">
        <f t="shared" si="3"/>
        <v>Profitable</v>
      </c>
      <c r="X91">
        <f t="shared" si="4"/>
        <v>41.206194015627965</v>
      </c>
      <c r="Y91">
        <f t="shared" si="5"/>
        <v>29.199332952163125</v>
      </c>
    </row>
    <row r="92" spans="1:25">
      <c r="A92" s="3">
        <v>44989</v>
      </c>
      <c r="B92" s="1">
        <v>6549.125</v>
      </c>
      <c r="C92" s="1">
        <v>7760</v>
      </c>
      <c r="D92" s="1">
        <v>1210.875</v>
      </c>
      <c r="E92" s="1">
        <v>1647.3000000000002</v>
      </c>
      <c r="F92" s="1">
        <v>3250</v>
      </c>
      <c r="G92" s="1">
        <v>1602.6999999999998</v>
      </c>
      <c r="H92" s="1">
        <v>122</v>
      </c>
      <c r="I92" s="1">
        <v>150</v>
      </c>
      <c r="J92" s="1">
        <v>28</v>
      </c>
      <c r="K92" s="1">
        <v>874.16666666666652</v>
      </c>
      <c r="L92" s="1">
        <v>1120</v>
      </c>
      <c r="M92" s="1">
        <v>245.83333333333337</v>
      </c>
      <c r="N92" s="1">
        <v>2100</v>
      </c>
      <c r="O92" s="1">
        <v>12280</v>
      </c>
      <c r="P92" s="1">
        <v>3087.4083333333333</v>
      </c>
      <c r="Q92" s="1">
        <v>987.40833333333319</v>
      </c>
      <c r="R92">
        <f>YEAR(tbl_daily[[#This Row],[Date]])</f>
        <v>2023</v>
      </c>
      <c r="S92" t="str">
        <f>TEXT(tbl_daily[[#This Row],[Date]],"mmmm")</f>
        <v>March</v>
      </c>
      <c r="T92">
        <f>MONTH(tbl_daily[[#This Row],[Date]])</f>
        <v>3</v>
      </c>
      <c r="U92" t="str">
        <f>"Q"&amp;ROUNDUP(MONTH(tbl_daily[[#This Row],[Date]])/3,0)</f>
        <v>Q1</v>
      </c>
      <c r="V92" t="str">
        <f>TEXT(tbl_daily[[#This Row],[Date]],"dddd")</f>
        <v>Saturday</v>
      </c>
      <c r="W92" t="str">
        <f t="shared" si="3"/>
        <v>Profitable</v>
      </c>
      <c r="X92">
        <f t="shared" si="4"/>
        <v>25.141761672095548</v>
      </c>
      <c r="Y92">
        <f t="shared" si="5"/>
        <v>8.0407844733984781</v>
      </c>
    </row>
    <row r="93" spans="1:25">
      <c r="A93" s="3">
        <v>44990</v>
      </c>
      <c r="B93" s="1">
        <v>4007.3299999999986</v>
      </c>
      <c r="C93" s="1">
        <v>4520</v>
      </c>
      <c r="D93" s="1">
        <v>512.67000000000189</v>
      </c>
      <c r="E93" s="1">
        <v>1443.3</v>
      </c>
      <c r="F93" s="1">
        <v>2900</v>
      </c>
      <c r="G93" s="1">
        <v>1456.7</v>
      </c>
      <c r="H93" s="1">
        <v>122</v>
      </c>
      <c r="I93" s="1">
        <v>150</v>
      </c>
      <c r="J93" s="1">
        <v>28</v>
      </c>
      <c r="K93" s="1">
        <v>703.33333333333326</v>
      </c>
      <c r="L93" s="1">
        <v>870</v>
      </c>
      <c r="M93" s="1">
        <v>166.66666666666674</v>
      </c>
      <c r="N93" s="1">
        <v>2100</v>
      </c>
      <c r="O93" s="1">
        <v>8440</v>
      </c>
      <c r="P93" s="1">
        <v>2164.0366666666687</v>
      </c>
      <c r="Q93" s="1">
        <v>64.03666666666868</v>
      </c>
      <c r="R93">
        <f>YEAR(tbl_daily[[#This Row],[Date]])</f>
        <v>2023</v>
      </c>
      <c r="S93" t="str">
        <f>TEXT(tbl_daily[[#This Row],[Date]],"mmmm")</f>
        <v>March</v>
      </c>
      <c r="T93">
        <f>MONTH(tbl_daily[[#This Row],[Date]])</f>
        <v>3</v>
      </c>
      <c r="U93" t="str">
        <f>"Q"&amp;ROUNDUP(MONTH(tbl_daily[[#This Row],[Date]])/3,0)</f>
        <v>Q1</v>
      </c>
      <c r="V93" t="str">
        <f>TEXT(tbl_daily[[#This Row],[Date]],"dddd")</f>
        <v>Sunday</v>
      </c>
      <c r="W93" t="str">
        <f t="shared" si="3"/>
        <v>Profitable</v>
      </c>
      <c r="X93">
        <f t="shared" si="4"/>
        <v>25.640244865718824</v>
      </c>
      <c r="Y93">
        <f t="shared" si="5"/>
        <v>0.7587282780410981</v>
      </c>
    </row>
    <row r="94" spans="1:25">
      <c r="A94" s="3">
        <v>44991</v>
      </c>
      <c r="B94" s="1">
        <v>5214.1500000000015</v>
      </c>
      <c r="C94" s="1">
        <v>6790</v>
      </c>
      <c r="D94" s="1">
        <v>1575.8499999999983</v>
      </c>
      <c r="E94" s="1">
        <v>1682.6999999999998</v>
      </c>
      <c r="F94" s="1">
        <v>2930</v>
      </c>
      <c r="G94" s="1">
        <v>1247.3000000000002</v>
      </c>
      <c r="H94" s="1">
        <v>90</v>
      </c>
      <c r="I94" s="1">
        <v>700</v>
      </c>
      <c r="J94" s="1">
        <v>610</v>
      </c>
      <c r="K94" s="1">
        <v>935.83333333333326</v>
      </c>
      <c r="L94" s="1">
        <v>1180</v>
      </c>
      <c r="M94" s="1">
        <v>244.16666666666671</v>
      </c>
      <c r="N94" s="1">
        <v>2316.6666666666665</v>
      </c>
      <c r="O94" s="1">
        <v>11600</v>
      </c>
      <c r="P94" s="1">
        <v>3677.3166666666657</v>
      </c>
      <c r="Q94" s="1">
        <v>1360.6499999999992</v>
      </c>
      <c r="R94">
        <f>YEAR(tbl_daily[[#This Row],[Date]])</f>
        <v>2023</v>
      </c>
      <c r="S94" t="str">
        <f>TEXT(tbl_daily[[#This Row],[Date]],"mmmm")</f>
        <v>March</v>
      </c>
      <c r="T94">
        <f>MONTH(tbl_daily[[#This Row],[Date]])</f>
        <v>3</v>
      </c>
      <c r="U94" t="str">
        <f>"Q"&amp;ROUNDUP(MONTH(tbl_daily[[#This Row],[Date]])/3,0)</f>
        <v>Q1</v>
      </c>
      <c r="V94" t="str">
        <f>TEXT(tbl_daily[[#This Row],[Date]],"dddd")</f>
        <v>Monday</v>
      </c>
      <c r="W94" t="str">
        <f t="shared" si="3"/>
        <v>Profitable</v>
      </c>
      <c r="X94">
        <f t="shared" si="4"/>
        <v>31.701005747126427</v>
      </c>
      <c r="Y94">
        <f t="shared" si="5"/>
        <v>11.729741379310338</v>
      </c>
    </row>
    <row r="95" spans="1:25">
      <c r="A95" s="3">
        <v>44992</v>
      </c>
      <c r="B95" s="1">
        <v>5679.9449999999988</v>
      </c>
      <c r="C95" s="1">
        <v>5260</v>
      </c>
      <c r="D95" s="1">
        <v>-419.9449999999988</v>
      </c>
      <c r="E95" s="1">
        <v>1879.8499999999997</v>
      </c>
      <c r="F95" s="1">
        <v>3430</v>
      </c>
      <c r="G95" s="1">
        <v>1550.1500000000003</v>
      </c>
      <c r="H95" s="1">
        <v>163.60000000000002</v>
      </c>
      <c r="I95" s="1">
        <v>350</v>
      </c>
      <c r="J95" s="1">
        <v>186.39999999999998</v>
      </c>
      <c r="K95" s="1">
        <v>1061.6666666666663</v>
      </c>
      <c r="L95" s="1">
        <v>1360</v>
      </c>
      <c r="M95" s="1">
        <v>298.33333333333348</v>
      </c>
      <c r="N95" s="1">
        <v>2316.6666666666665</v>
      </c>
      <c r="O95" s="1">
        <v>10400</v>
      </c>
      <c r="P95" s="1">
        <v>1614.9383333333349</v>
      </c>
      <c r="Q95" s="1">
        <v>-701.72833333333165</v>
      </c>
      <c r="R95">
        <f>YEAR(tbl_daily[[#This Row],[Date]])</f>
        <v>2023</v>
      </c>
      <c r="S95" t="str">
        <f>TEXT(tbl_daily[[#This Row],[Date]],"mmmm")</f>
        <v>March</v>
      </c>
      <c r="T95">
        <f>MONTH(tbl_daily[[#This Row],[Date]])</f>
        <v>3</v>
      </c>
      <c r="U95" t="str">
        <f>"Q"&amp;ROUNDUP(MONTH(tbl_daily[[#This Row],[Date]])/3,0)</f>
        <v>Q1</v>
      </c>
      <c r="V95" t="str">
        <f>TEXT(tbl_daily[[#This Row],[Date]],"dddd")</f>
        <v>Tuesday</v>
      </c>
      <c r="W95" t="str">
        <f t="shared" si="3"/>
        <v>Loss</v>
      </c>
      <c r="X95">
        <f t="shared" si="4"/>
        <v>15.52825320512822</v>
      </c>
      <c r="Y95">
        <f t="shared" si="5"/>
        <v>-6.7473878205128042</v>
      </c>
    </row>
    <row r="96" spans="1:25">
      <c r="A96" s="3">
        <v>44993</v>
      </c>
      <c r="B96" s="1">
        <v>3369.9299999999985</v>
      </c>
      <c r="C96" s="1">
        <v>3630</v>
      </c>
      <c r="D96" s="1">
        <v>260.07000000000153</v>
      </c>
      <c r="E96" s="1">
        <v>888.74999999999989</v>
      </c>
      <c r="F96" s="1">
        <v>1750</v>
      </c>
      <c r="G96" s="1">
        <v>861.25000000000011</v>
      </c>
      <c r="H96" s="1">
        <v>154</v>
      </c>
      <c r="I96" s="1">
        <v>300</v>
      </c>
      <c r="J96" s="1">
        <v>146</v>
      </c>
      <c r="K96" s="1">
        <v>1529.1666666666663</v>
      </c>
      <c r="L96" s="1">
        <v>1920</v>
      </c>
      <c r="M96" s="1">
        <v>390.83333333333343</v>
      </c>
      <c r="N96" s="1">
        <v>2316.6666666666665</v>
      </c>
      <c r="O96" s="1">
        <v>7600</v>
      </c>
      <c r="P96" s="1">
        <v>1658.153333333335</v>
      </c>
      <c r="Q96" s="1">
        <v>-658.5133333333315</v>
      </c>
      <c r="R96">
        <f>YEAR(tbl_daily[[#This Row],[Date]])</f>
        <v>2023</v>
      </c>
      <c r="S96" t="str">
        <f>TEXT(tbl_daily[[#This Row],[Date]],"mmmm")</f>
        <v>March</v>
      </c>
      <c r="T96">
        <f>MONTH(tbl_daily[[#This Row],[Date]])</f>
        <v>3</v>
      </c>
      <c r="U96" t="str">
        <f>"Q"&amp;ROUNDUP(MONTH(tbl_daily[[#This Row],[Date]])/3,0)</f>
        <v>Q1</v>
      </c>
      <c r="V96" t="str">
        <f>TEXT(tbl_daily[[#This Row],[Date]],"dddd")</f>
        <v>Wednesday</v>
      </c>
      <c r="W96" t="str">
        <f t="shared" si="3"/>
        <v>Loss</v>
      </c>
      <c r="X96">
        <f t="shared" si="4"/>
        <v>21.817807017543881</v>
      </c>
      <c r="Y96">
        <f t="shared" si="5"/>
        <v>-8.6646491228069937</v>
      </c>
    </row>
    <row r="97" spans="1:25">
      <c r="A97" s="3">
        <v>44994</v>
      </c>
      <c r="B97" s="1">
        <v>4307.5699999999979</v>
      </c>
      <c r="C97" s="1">
        <v>6130</v>
      </c>
      <c r="D97" s="1">
        <v>1822.4300000000021</v>
      </c>
      <c r="E97" s="1">
        <v>1121.55</v>
      </c>
      <c r="F97" s="1">
        <v>2250</v>
      </c>
      <c r="G97" s="1">
        <v>1128.45</v>
      </c>
      <c r="H97" s="1">
        <v>320.8</v>
      </c>
      <c r="I97" s="1">
        <v>1350</v>
      </c>
      <c r="J97" s="1">
        <v>1029.2</v>
      </c>
      <c r="K97" s="1">
        <v>745</v>
      </c>
      <c r="L97" s="1">
        <v>940</v>
      </c>
      <c r="M97" s="1">
        <v>195</v>
      </c>
      <c r="N97" s="1">
        <v>2316.6666666666665</v>
      </c>
      <c r="O97" s="1">
        <v>10670</v>
      </c>
      <c r="P97" s="1">
        <v>4175.0800000000017</v>
      </c>
      <c r="Q97" s="1">
        <v>1858.4133333333352</v>
      </c>
      <c r="R97">
        <f>YEAR(tbl_daily[[#This Row],[Date]])</f>
        <v>2023</v>
      </c>
      <c r="S97" t="str">
        <f>TEXT(tbl_daily[[#This Row],[Date]],"mmmm")</f>
        <v>March</v>
      </c>
      <c r="T97">
        <f>MONTH(tbl_daily[[#This Row],[Date]])</f>
        <v>3</v>
      </c>
      <c r="U97" t="str">
        <f>"Q"&amp;ROUNDUP(MONTH(tbl_daily[[#This Row],[Date]])/3,0)</f>
        <v>Q1</v>
      </c>
      <c r="V97" t="str">
        <f>TEXT(tbl_daily[[#This Row],[Date]],"dddd")</f>
        <v>Thursday</v>
      </c>
      <c r="W97" t="str">
        <f t="shared" si="3"/>
        <v>Profitable</v>
      </c>
      <c r="X97">
        <f t="shared" si="4"/>
        <v>39.129147141518295</v>
      </c>
      <c r="Y97">
        <f t="shared" si="5"/>
        <v>17.417182130584212</v>
      </c>
    </row>
    <row r="98" spans="1:25">
      <c r="A98" s="3">
        <v>44995</v>
      </c>
      <c r="B98" s="1">
        <v>4533.8599999999997</v>
      </c>
      <c r="C98" s="1">
        <v>6200</v>
      </c>
      <c r="D98" s="1">
        <v>1666.1400000000003</v>
      </c>
      <c r="E98" s="1">
        <v>1321.35</v>
      </c>
      <c r="F98" s="1">
        <v>2360</v>
      </c>
      <c r="G98" s="1">
        <v>1038.6500000000001</v>
      </c>
      <c r="H98" s="1">
        <v>90</v>
      </c>
      <c r="I98" s="1">
        <v>0</v>
      </c>
      <c r="J98" s="1">
        <v>-90</v>
      </c>
      <c r="K98" s="1">
        <v>575</v>
      </c>
      <c r="L98" s="1">
        <v>720</v>
      </c>
      <c r="M98" s="1">
        <v>145</v>
      </c>
      <c r="N98" s="1">
        <v>2316.6666666666665</v>
      </c>
      <c r="O98" s="1">
        <v>9280</v>
      </c>
      <c r="P98" s="1">
        <v>2759.79</v>
      </c>
      <c r="Q98" s="1">
        <v>443.12333333333345</v>
      </c>
      <c r="R98">
        <f>YEAR(tbl_daily[[#This Row],[Date]])</f>
        <v>2023</v>
      </c>
      <c r="S98" t="str">
        <f>TEXT(tbl_daily[[#This Row],[Date]],"mmmm")</f>
        <v>March</v>
      </c>
      <c r="T98">
        <f>MONTH(tbl_daily[[#This Row],[Date]])</f>
        <v>3</v>
      </c>
      <c r="U98" t="str">
        <f>"Q"&amp;ROUNDUP(MONTH(tbl_daily[[#This Row],[Date]])/3,0)</f>
        <v>Q1</v>
      </c>
      <c r="V98" t="str">
        <f>TEXT(tbl_daily[[#This Row],[Date]],"dddd")</f>
        <v>Friday</v>
      </c>
      <c r="W98" t="str">
        <f t="shared" si="3"/>
        <v>Profitable</v>
      </c>
      <c r="X98">
        <f t="shared" si="4"/>
        <v>29.739116379310342</v>
      </c>
      <c r="Y98">
        <f t="shared" si="5"/>
        <v>4.7750359195402314</v>
      </c>
    </row>
    <row r="99" spans="1:25">
      <c r="A99" s="3">
        <v>44996</v>
      </c>
      <c r="B99" s="1">
        <v>4515.5200000000023</v>
      </c>
      <c r="C99" s="1">
        <v>5620</v>
      </c>
      <c r="D99" s="1">
        <v>1104.4799999999975</v>
      </c>
      <c r="E99" s="1">
        <v>2766.5499999999997</v>
      </c>
      <c r="F99" s="1">
        <v>4750</v>
      </c>
      <c r="G99" s="1">
        <v>1983.4500000000005</v>
      </c>
      <c r="H99" s="1">
        <v>167</v>
      </c>
      <c r="I99" s="1">
        <v>1950</v>
      </c>
      <c r="J99" s="1">
        <v>1783</v>
      </c>
      <c r="K99" s="1">
        <v>1950</v>
      </c>
      <c r="L99" s="1">
        <v>2420</v>
      </c>
      <c r="M99" s="1">
        <v>470.00000000000023</v>
      </c>
      <c r="N99" s="1">
        <v>2316.6666666666665</v>
      </c>
      <c r="O99" s="1">
        <v>14740</v>
      </c>
      <c r="P99" s="1">
        <v>5340.9299999999985</v>
      </c>
      <c r="Q99" s="1">
        <v>3024.263333333332</v>
      </c>
      <c r="R99">
        <f>YEAR(tbl_daily[[#This Row],[Date]])</f>
        <v>2023</v>
      </c>
      <c r="S99" t="str">
        <f>TEXT(tbl_daily[[#This Row],[Date]],"mmmm")</f>
        <v>March</v>
      </c>
      <c r="T99">
        <f>MONTH(tbl_daily[[#This Row],[Date]])</f>
        <v>3</v>
      </c>
      <c r="U99" t="str">
        <f>"Q"&amp;ROUNDUP(MONTH(tbl_daily[[#This Row],[Date]])/3,0)</f>
        <v>Q1</v>
      </c>
      <c r="V99" t="str">
        <f>TEXT(tbl_daily[[#This Row],[Date]],"dddd")</f>
        <v>Saturday</v>
      </c>
      <c r="W99" t="str">
        <f t="shared" si="3"/>
        <v>Profitable</v>
      </c>
      <c r="X99">
        <f t="shared" si="4"/>
        <v>36.234260515603786</v>
      </c>
      <c r="Y99">
        <f t="shared" si="5"/>
        <v>20.517390321121656</v>
      </c>
    </row>
    <row r="100" spans="1:25">
      <c r="A100" s="3">
        <v>44997</v>
      </c>
      <c r="B100" s="1">
        <v>5048.3449999999984</v>
      </c>
      <c r="C100" s="1">
        <v>5860</v>
      </c>
      <c r="D100" s="1">
        <v>811.65500000000156</v>
      </c>
      <c r="E100" s="1">
        <v>1927.7</v>
      </c>
      <c r="F100" s="1">
        <v>3500</v>
      </c>
      <c r="G100" s="1">
        <v>1572.3000000000002</v>
      </c>
      <c r="H100" s="1">
        <v>199</v>
      </c>
      <c r="I100" s="1">
        <v>1350</v>
      </c>
      <c r="J100" s="1">
        <v>1151</v>
      </c>
      <c r="K100" s="1">
        <v>1731.6666666666663</v>
      </c>
      <c r="L100" s="1">
        <v>2160</v>
      </c>
      <c r="M100" s="1">
        <v>428.33333333333343</v>
      </c>
      <c r="N100" s="1">
        <v>2316.6666666666665</v>
      </c>
      <c r="O100" s="1">
        <v>12870</v>
      </c>
      <c r="P100" s="1">
        <v>3963.2883333333352</v>
      </c>
      <c r="Q100" s="1">
        <v>1646.6216666666687</v>
      </c>
      <c r="R100">
        <f>YEAR(tbl_daily[[#This Row],[Date]])</f>
        <v>2023</v>
      </c>
      <c r="S100" t="str">
        <f>TEXT(tbl_daily[[#This Row],[Date]],"mmmm")</f>
        <v>March</v>
      </c>
      <c r="T100">
        <f>MONTH(tbl_daily[[#This Row],[Date]])</f>
        <v>3</v>
      </c>
      <c r="U100" t="str">
        <f>"Q"&amp;ROUNDUP(MONTH(tbl_daily[[#This Row],[Date]])/3,0)</f>
        <v>Q1</v>
      </c>
      <c r="V100" t="str">
        <f>TEXT(tbl_daily[[#This Row],[Date]],"dddd")</f>
        <v>Sunday</v>
      </c>
      <c r="W100" t="str">
        <f t="shared" si="3"/>
        <v>Profitable</v>
      </c>
      <c r="X100">
        <f t="shared" si="4"/>
        <v>30.794781144781158</v>
      </c>
      <c r="Y100">
        <f t="shared" si="5"/>
        <v>12.79426314426316</v>
      </c>
    </row>
    <row r="101" spans="1:25">
      <c r="A101" s="3">
        <v>44998</v>
      </c>
      <c r="B101" s="1">
        <v>5516.2550000000001</v>
      </c>
      <c r="C101" s="1">
        <v>6750</v>
      </c>
      <c r="D101" s="1">
        <v>1233.7449999999999</v>
      </c>
      <c r="E101" s="1">
        <v>1656.6</v>
      </c>
      <c r="F101" s="1">
        <v>3250</v>
      </c>
      <c r="G101" s="1">
        <v>1593.4</v>
      </c>
      <c r="H101" s="1">
        <v>217.8</v>
      </c>
      <c r="I101" s="1">
        <v>550</v>
      </c>
      <c r="J101" s="1">
        <v>332.2</v>
      </c>
      <c r="K101" s="1">
        <v>1493.3333333333337</v>
      </c>
      <c r="L101" s="1">
        <v>1760</v>
      </c>
      <c r="M101" s="1">
        <v>266.66666666666652</v>
      </c>
      <c r="N101" s="1">
        <v>2316.6666666666665</v>
      </c>
      <c r="O101" s="1">
        <v>12310</v>
      </c>
      <c r="P101" s="1">
        <v>3426.0116666666659</v>
      </c>
      <c r="Q101" s="1">
        <v>1109.3449999999991</v>
      </c>
      <c r="R101">
        <f>YEAR(tbl_daily[[#This Row],[Date]])</f>
        <v>2023</v>
      </c>
      <c r="S101" t="str">
        <f>TEXT(tbl_daily[[#This Row],[Date]],"mmmm")</f>
        <v>March</v>
      </c>
      <c r="T101">
        <f>MONTH(tbl_daily[[#This Row],[Date]])</f>
        <v>3</v>
      </c>
      <c r="U101" t="str">
        <f>"Q"&amp;ROUNDUP(MONTH(tbl_daily[[#This Row],[Date]])/3,0)</f>
        <v>Q1</v>
      </c>
      <c r="V101" t="str">
        <f>TEXT(tbl_daily[[#This Row],[Date]],"dddd")</f>
        <v>Monday</v>
      </c>
      <c r="W101" t="str">
        <f t="shared" si="3"/>
        <v>Profitable</v>
      </c>
      <c r="X101">
        <f t="shared" si="4"/>
        <v>27.831126455456261</v>
      </c>
      <c r="Y101">
        <f t="shared" si="5"/>
        <v>9.0117384240454843</v>
      </c>
    </row>
    <row r="102" spans="1:25">
      <c r="A102" s="3">
        <v>44999</v>
      </c>
      <c r="B102" s="1">
        <v>4876.8350000000028</v>
      </c>
      <c r="C102" s="1">
        <v>6490</v>
      </c>
      <c r="D102" s="1">
        <v>1613.1649999999972</v>
      </c>
      <c r="E102" s="1">
        <v>999.60000000000036</v>
      </c>
      <c r="F102" s="1">
        <v>1250</v>
      </c>
      <c r="G102" s="1">
        <v>250.39999999999975</v>
      </c>
      <c r="H102" s="1">
        <v>288.60000000000002</v>
      </c>
      <c r="I102" s="1">
        <v>1200</v>
      </c>
      <c r="J102" s="1">
        <v>911.4</v>
      </c>
      <c r="K102" s="1">
        <v>989.16666666666674</v>
      </c>
      <c r="L102" s="1">
        <v>1260</v>
      </c>
      <c r="M102" s="1">
        <v>270.83333333333326</v>
      </c>
      <c r="N102" s="1">
        <v>2316.6666666666665</v>
      </c>
      <c r="O102" s="1">
        <v>10200</v>
      </c>
      <c r="P102" s="1">
        <v>3045.7983333333304</v>
      </c>
      <c r="Q102" s="1">
        <v>729.13166666666405</v>
      </c>
      <c r="R102">
        <f>YEAR(tbl_daily[[#This Row],[Date]])</f>
        <v>2023</v>
      </c>
      <c r="S102" t="str">
        <f>TEXT(tbl_daily[[#This Row],[Date]],"mmmm")</f>
        <v>March</v>
      </c>
      <c r="T102">
        <f>MONTH(tbl_daily[[#This Row],[Date]])</f>
        <v>3</v>
      </c>
      <c r="U102" t="str">
        <f>"Q"&amp;ROUNDUP(MONTH(tbl_daily[[#This Row],[Date]])/3,0)</f>
        <v>Q1</v>
      </c>
      <c r="V102" t="str">
        <f>TEXT(tbl_daily[[#This Row],[Date]],"dddd")</f>
        <v>Tuesday</v>
      </c>
      <c r="W102" t="str">
        <f t="shared" si="3"/>
        <v>Profitable</v>
      </c>
      <c r="X102">
        <f t="shared" si="4"/>
        <v>29.860767973856177</v>
      </c>
      <c r="Y102">
        <f t="shared" si="5"/>
        <v>7.1483496732025893</v>
      </c>
    </row>
    <row r="103" spans="1:25">
      <c r="A103" s="3">
        <v>45000</v>
      </c>
      <c r="B103" s="1">
        <v>4381.4049999999997</v>
      </c>
      <c r="C103" s="1">
        <v>5610</v>
      </c>
      <c r="D103" s="1">
        <v>1228.5950000000005</v>
      </c>
      <c r="E103" s="1">
        <v>485.0999999999998</v>
      </c>
      <c r="F103" s="1">
        <v>1000</v>
      </c>
      <c r="G103" s="1">
        <v>514.9000000000002</v>
      </c>
      <c r="H103" s="1">
        <v>90</v>
      </c>
      <c r="I103" s="1">
        <v>0</v>
      </c>
      <c r="J103" s="1">
        <v>-90</v>
      </c>
      <c r="K103" s="1">
        <v>1290</v>
      </c>
      <c r="L103" s="1">
        <v>1660</v>
      </c>
      <c r="M103" s="1">
        <v>370</v>
      </c>
      <c r="N103" s="1">
        <v>2316.6666666666665</v>
      </c>
      <c r="O103" s="1">
        <v>8270</v>
      </c>
      <c r="P103" s="1">
        <v>2023.4950000000003</v>
      </c>
      <c r="Q103" s="1">
        <v>-293.17166666666617</v>
      </c>
      <c r="R103">
        <f>YEAR(tbl_daily[[#This Row],[Date]])</f>
        <v>2023</v>
      </c>
      <c r="S103" t="str">
        <f>TEXT(tbl_daily[[#This Row],[Date]],"mmmm")</f>
        <v>March</v>
      </c>
      <c r="T103">
        <f>MONTH(tbl_daily[[#This Row],[Date]])</f>
        <v>3</v>
      </c>
      <c r="U103" t="str">
        <f>"Q"&amp;ROUNDUP(MONTH(tbl_daily[[#This Row],[Date]])/3,0)</f>
        <v>Q1</v>
      </c>
      <c r="V103" t="str">
        <f>TEXT(tbl_daily[[#This Row],[Date]],"dddd")</f>
        <v>Wednesday</v>
      </c>
      <c r="W103" t="str">
        <f t="shared" si="3"/>
        <v>Loss</v>
      </c>
      <c r="X103">
        <f t="shared" si="4"/>
        <v>24.467896009673524</v>
      </c>
      <c r="Y103">
        <f t="shared" si="5"/>
        <v>-3.5450020153163986</v>
      </c>
    </row>
    <row r="104" spans="1:25">
      <c r="A104" s="3">
        <v>45001</v>
      </c>
      <c r="B104" s="1">
        <v>5831.1999999999971</v>
      </c>
      <c r="C104" s="1">
        <v>8070</v>
      </c>
      <c r="D104" s="1">
        <v>2238.8000000000029</v>
      </c>
      <c r="E104" s="1">
        <v>2654.1</v>
      </c>
      <c r="F104" s="1">
        <v>4750</v>
      </c>
      <c r="G104" s="1">
        <v>2095.9</v>
      </c>
      <c r="H104" s="1">
        <v>237.66000000000003</v>
      </c>
      <c r="I104" s="1">
        <v>2200</v>
      </c>
      <c r="J104" s="1">
        <v>1962.34</v>
      </c>
      <c r="K104" s="1">
        <v>1583.333333333333</v>
      </c>
      <c r="L104" s="1">
        <v>2000</v>
      </c>
      <c r="M104" s="1">
        <v>416.66666666666697</v>
      </c>
      <c r="N104" s="1">
        <v>2316.6666666666665</v>
      </c>
      <c r="O104" s="1">
        <v>17020</v>
      </c>
      <c r="P104" s="1">
        <v>6713.7066666666697</v>
      </c>
      <c r="Q104" s="1">
        <v>4397.0400000000027</v>
      </c>
      <c r="R104">
        <f>YEAR(tbl_daily[[#This Row],[Date]])</f>
        <v>2023</v>
      </c>
      <c r="S104" t="str">
        <f>TEXT(tbl_daily[[#This Row],[Date]],"mmmm")</f>
        <v>March</v>
      </c>
      <c r="T104">
        <f>MONTH(tbl_daily[[#This Row],[Date]])</f>
        <v>3</v>
      </c>
      <c r="U104" t="str">
        <f>"Q"&amp;ROUNDUP(MONTH(tbl_daily[[#This Row],[Date]])/3,0)</f>
        <v>Q1</v>
      </c>
      <c r="V104" t="str">
        <f>TEXT(tbl_daily[[#This Row],[Date]],"dddd")</f>
        <v>Thursday</v>
      </c>
      <c r="W104" t="str">
        <f t="shared" si="3"/>
        <v>Profitable</v>
      </c>
      <c r="X104">
        <f t="shared" si="4"/>
        <v>39.44598511555035</v>
      </c>
      <c r="Y104">
        <f t="shared" si="5"/>
        <v>25.834547591069345</v>
      </c>
    </row>
    <row r="105" spans="1:25">
      <c r="A105" s="3">
        <v>45002</v>
      </c>
      <c r="B105" s="1">
        <v>6056.7649999999976</v>
      </c>
      <c r="C105" s="1">
        <v>5050</v>
      </c>
      <c r="D105" s="1">
        <v>-1006.7649999999976</v>
      </c>
      <c r="E105" s="1">
        <v>1244.9999999999995</v>
      </c>
      <c r="F105" s="1">
        <v>2750</v>
      </c>
      <c r="G105" s="1">
        <v>1505.0000000000005</v>
      </c>
      <c r="H105" s="1">
        <v>186</v>
      </c>
      <c r="I105" s="1">
        <v>400</v>
      </c>
      <c r="J105" s="1">
        <v>214</v>
      </c>
      <c r="K105" s="1">
        <v>1028.3333333333333</v>
      </c>
      <c r="L105" s="1">
        <v>1300</v>
      </c>
      <c r="M105" s="1">
        <v>271.66666666666674</v>
      </c>
      <c r="N105" s="1">
        <v>2316.6666666666665</v>
      </c>
      <c r="O105" s="1">
        <v>9500</v>
      </c>
      <c r="P105" s="1">
        <v>983.9016666666696</v>
      </c>
      <c r="Q105" s="1">
        <v>-1332.7649999999967</v>
      </c>
      <c r="R105">
        <f>YEAR(tbl_daily[[#This Row],[Date]])</f>
        <v>2023</v>
      </c>
      <c r="S105" t="str">
        <f>TEXT(tbl_daily[[#This Row],[Date]],"mmmm")</f>
        <v>March</v>
      </c>
      <c r="T105">
        <f>MONTH(tbl_daily[[#This Row],[Date]])</f>
        <v>3</v>
      </c>
      <c r="U105" t="str">
        <f>"Q"&amp;ROUNDUP(MONTH(tbl_daily[[#This Row],[Date]])/3,0)</f>
        <v>Q1</v>
      </c>
      <c r="V105" t="str">
        <f>TEXT(tbl_daily[[#This Row],[Date]],"dddd")</f>
        <v>Friday</v>
      </c>
      <c r="W105" t="str">
        <f t="shared" si="3"/>
        <v>Loss</v>
      </c>
      <c r="X105">
        <f t="shared" si="4"/>
        <v>10.356859649122837</v>
      </c>
      <c r="Y105">
        <f t="shared" si="5"/>
        <v>-14.029105263157859</v>
      </c>
    </row>
    <row r="106" spans="1:25">
      <c r="A106" s="3">
        <v>45003</v>
      </c>
      <c r="B106" s="1">
        <v>4507.9350000000013</v>
      </c>
      <c r="C106" s="1">
        <v>6260</v>
      </c>
      <c r="D106" s="1">
        <v>1752.0649999999987</v>
      </c>
      <c r="E106" s="1">
        <v>2572.5</v>
      </c>
      <c r="F106" s="1">
        <v>5250</v>
      </c>
      <c r="G106" s="1">
        <v>2677.5</v>
      </c>
      <c r="H106" s="1">
        <v>223.4</v>
      </c>
      <c r="I106" s="1">
        <v>850</v>
      </c>
      <c r="J106" s="1">
        <v>626.6</v>
      </c>
      <c r="K106" s="1">
        <v>1345</v>
      </c>
      <c r="L106" s="1">
        <v>1720</v>
      </c>
      <c r="M106" s="1">
        <v>375</v>
      </c>
      <c r="N106" s="1">
        <v>2316.6666666666665</v>
      </c>
      <c r="O106" s="1">
        <v>14080</v>
      </c>
      <c r="P106" s="1">
        <v>5431.1649999999991</v>
      </c>
      <c r="Q106" s="1">
        <v>3114.4983333333325</v>
      </c>
      <c r="R106">
        <f>YEAR(tbl_daily[[#This Row],[Date]])</f>
        <v>2023</v>
      </c>
      <c r="S106" t="str">
        <f>TEXT(tbl_daily[[#This Row],[Date]],"mmmm")</f>
        <v>March</v>
      </c>
      <c r="T106">
        <f>MONTH(tbl_daily[[#This Row],[Date]])</f>
        <v>3</v>
      </c>
      <c r="U106" t="str">
        <f>"Q"&amp;ROUNDUP(MONTH(tbl_daily[[#This Row],[Date]])/3,0)</f>
        <v>Q1</v>
      </c>
      <c r="V106" t="str">
        <f>TEXT(tbl_daily[[#This Row],[Date]],"dddd")</f>
        <v>Saturday</v>
      </c>
      <c r="W106" t="str">
        <f t="shared" si="3"/>
        <v>Profitable</v>
      </c>
      <c r="X106">
        <f t="shared" si="4"/>
        <v>38.57361505681817</v>
      </c>
      <c r="Y106">
        <f t="shared" si="5"/>
        <v>22.120016571969693</v>
      </c>
    </row>
    <row r="107" spans="1:25">
      <c r="A107" s="3">
        <v>45004</v>
      </c>
      <c r="B107" s="1">
        <v>4833.2000000000007</v>
      </c>
      <c r="C107" s="1">
        <v>5800</v>
      </c>
      <c r="D107" s="1">
        <v>966.79999999999916</v>
      </c>
      <c r="E107" s="1">
        <v>1292.45</v>
      </c>
      <c r="F107" s="1">
        <v>2750</v>
      </c>
      <c r="G107" s="1">
        <v>1457.55</v>
      </c>
      <c r="H107" s="1">
        <v>384.79999999999995</v>
      </c>
      <c r="I107" s="1">
        <v>1650</v>
      </c>
      <c r="J107" s="1">
        <v>1265.2</v>
      </c>
      <c r="K107" s="1">
        <v>1152.5</v>
      </c>
      <c r="L107" s="1">
        <v>1300</v>
      </c>
      <c r="M107" s="1">
        <v>147.5</v>
      </c>
      <c r="N107" s="1">
        <v>2316.6666666666665</v>
      </c>
      <c r="O107" s="1">
        <v>11500</v>
      </c>
      <c r="P107" s="1">
        <v>3837.0499999999993</v>
      </c>
      <c r="Q107" s="1">
        <v>1520.3833333333328</v>
      </c>
      <c r="R107">
        <f>YEAR(tbl_daily[[#This Row],[Date]])</f>
        <v>2023</v>
      </c>
      <c r="S107" t="str">
        <f>TEXT(tbl_daily[[#This Row],[Date]],"mmmm")</f>
        <v>March</v>
      </c>
      <c r="T107">
        <f>MONTH(tbl_daily[[#This Row],[Date]])</f>
        <v>3</v>
      </c>
      <c r="U107" t="str">
        <f>"Q"&amp;ROUNDUP(MONTH(tbl_daily[[#This Row],[Date]])/3,0)</f>
        <v>Q1</v>
      </c>
      <c r="V107" t="str">
        <f>TEXT(tbl_daily[[#This Row],[Date]],"dddd")</f>
        <v>Sunday</v>
      </c>
      <c r="W107" t="str">
        <f t="shared" si="3"/>
        <v>Profitable</v>
      </c>
      <c r="X107">
        <f t="shared" si="4"/>
        <v>33.365652173913034</v>
      </c>
      <c r="Y107">
        <f t="shared" si="5"/>
        <v>13.220724637681155</v>
      </c>
    </row>
    <row r="108" spans="1:25">
      <c r="A108" s="3">
        <v>45005</v>
      </c>
      <c r="B108" s="1">
        <v>3968.1900000000014</v>
      </c>
      <c r="C108" s="1">
        <v>4720</v>
      </c>
      <c r="D108" s="1">
        <v>751.80999999999858</v>
      </c>
      <c r="E108" s="1">
        <v>2045.75</v>
      </c>
      <c r="F108" s="1">
        <v>3250</v>
      </c>
      <c r="G108" s="1">
        <v>1204.25</v>
      </c>
      <c r="H108" s="1">
        <v>258</v>
      </c>
      <c r="I108" s="1">
        <v>1750</v>
      </c>
      <c r="J108" s="1">
        <v>1492</v>
      </c>
      <c r="K108" s="1">
        <v>1020</v>
      </c>
      <c r="L108" s="1">
        <v>1300</v>
      </c>
      <c r="M108" s="1">
        <v>280</v>
      </c>
      <c r="N108" s="1">
        <v>2316.6666666666665</v>
      </c>
      <c r="O108" s="1">
        <v>11020</v>
      </c>
      <c r="P108" s="1">
        <v>3728.0599999999986</v>
      </c>
      <c r="Q108" s="1">
        <v>1411.3933333333321</v>
      </c>
      <c r="R108">
        <f>YEAR(tbl_daily[[#This Row],[Date]])</f>
        <v>2023</v>
      </c>
      <c r="S108" t="str">
        <f>TEXT(tbl_daily[[#This Row],[Date]],"mmmm")</f>
        <v>March</v>
      </c>
      <c r="T108">
        <f>MONTH(tbl_daily[[#This Row],[Date]])</f>
        <v>3</v>
      </c>
      <c r="U108" t="str">
        <f>"Q"&amp;ROUNDUP(MONTH(tbl_daily[[#This Row],[Date]])/3,0)</f>
        <v>Q1</v>
      </c>
      <c r="V108" t="str">
        <f>TEXT(tbl_daily[[#This Row],[Date]],"dddd")</f>
        <v>Monday</v>
      </c>
      <c r="W108" t="str">
        <f t="shared" si="3"/>
        <v>Profitable</v>
      </c>
      <c r="X108">
        <f t="shared" si="4"/>
        <v>33.829945553539012</v>
      </c>
      <c r="Y108">
        <f t="shared" si="5"/>
        <v>12.807562008469439</v>
      </c>
    </row>
    <row r="109" spans="1:25">
      <c r="A109" s="3">
        <v>45006</v>
      </c>
      <c r="B109" s="1">
        <v>4907.4000000000005</v>
      </c>
      <c r="C109" s="1">
        <v>7100</v>
      </c>
      <c r="D109" s="1">
        <v>2192.5999999999995</v>
      </c>
      <c r="E109" s="1">
        <v>569.4</v>
      </c>
      <c r="F109" s="1">
        <v>1000</v>
      </c>
      <c r="G109" s="1">
        <v>430.6</v>
      </c>
      <c r="H109" s="1">
        <v>90</v>
      </c>
      <c r="I109" s="1">
        <v>0</v>
      </c>
      <c r="J109" s="1">
        <v>-90</v>
      </c>
      <c r="K109" s="1">
        <v>1382.5</v>
      </c>
      <c r="L109" s="1">
        <v>1740</v>
      </c>
      <c r="M109" s="1">
        <v>357.5</v>
      </c>
      <c r="N109" s="1">
        <v>2316.6666666666665</v>
      </c>
      <c r="O109" s="1">
        <v>9840</v>
      </c>
      <c r="P109" s="1">
        <v>2890.6999999999994</v>
      </c>
      <c r="Q109" s="1">
        <v>574.03333333333285</v>
      </c>
      <c r="R109">
        <f>YEAR(tbl_daily[[#This Row],[Date]])</f>
        <v>2023</v>
      </c>
      <c r="S109" t="str">
        <f>TEXT(tbl_daily[[#This Row],[Date]],"mmmm")</f>
        <v>March</v>
      </c>
      <c r="T109">
        <f>MONTH(tbl_daily[[#This Row],[Date]])</f>
        <v>3</v>
      </c>
      <c r="U109" t="str">
        <f>"Q"&amp;ROUNDUP(MONTH(tbl_daily[[#This Row],[Date]])/3,0)</f>
        <v>Q1</v>
      </c>
      <c r="V109" t="str">
        <f>TEXT(tbl_daily[[#This Row],[Date]],"dddd")</f>
        <v>Tuesday</v>
      </c>
      <c r="W109" t="str">
        <f t="shared" si="3"/>
        <v>Profitable</v>
      </c>
      <c r="X109">
        <f t="shared" si="4"/>
        <v>29.377032520325198</v>
      </c>
      <c r="Y109">
        <f t="shared" si="5"/>
        <v>5.8336720867208625</v>
      </c>
    </row>
    <row r="110" spans="1:25">
      <c r="A110" s="3">
        <v>45007</v>
      </c>
      <c r="B110" s="1">
        <v>5289.7449999999999</v>
      </c>
      <c r="C110" s="1">
        <v>7850</v>
      </c>
      <c r="D110" s="1">
        <v>2560.2550000000001</v>
      </c>
      <c r="E110" s="1">
        <v>2550.15</v>
      </c>
      <c r="F110" s="1">
        <v>5250</v>
      </c>
      <c r="G110" s="1">
        <v>2699.85</v>
      </c>
      <c r="H110" s="1">
        <v>166.4</v>
      </c>
      <c r="I110" s="1">
        <v>350</v>
      </c>
      <c r="J110" s="1">
        <v>183.60000000000002</v>
      </c>
      <c r="K110" s="1">
        <v>1793.3333333333333</v>
      </c>
      <c r="L110" s="1">
        <v>2180</v>
      </c>
      <c r="M110" s="1">
        <v>386.66666666666674</v>
      </c>
      <c r="N110" s="1">
        <v>2316.6666666666665</v>
      </c>
      <c r="O110" s="1">
        <v>15630</v>
      </c>
      <c r="P110" s="1">
        <v>5830.3716666666669</v>
      </c>
      <c r="Q110" s="1">
        <v>3513.7050000000004</v>
      </c>
      <c r="R110">
        <f>YEAR(tbl_daily[[#This Row],[Date]])</f>
        <v>2023</v>
      </c>
      <c r="S110" t="str">
        <f>TEXT(tbl_daily[[#This Row],[Date]],"mmmm")</f>
        <v>March</v>
      </c>
      <c r="T110">
        <f>MONTH(tbl_daily[[#This Row],[Date]])</f>
        <v>3</v>
      </c>
      <c r="U110" t="str">
        <f>"Q"&amp;ROUNDUP(MONTH(tbl_daily[[#This Row],[Date]])/3,0)</f>
        <v>Q1</v>
      </c>
      <c r="V110" t="str">
        <f>TEXT(tbl_daily[[#This Row],[Date]],"dddd")</f>
        <v>Wednesday</v>
      </c>
      <c r="W110" t="str">
        <f t="shared" si="3"/>
        <v>Profitable</v>
      </c>
      <c r="X110">
        <f t="shared" si="4"/>
        <v>37.302441885263384</v>
      </c>
      <c r="Y110">
        <f t="shared" si="5"/>
        <v>22.480518234165071</v>
      </c>
    </row>
    <row r="111" spans="1:25">
      <c r="A111" s="3">
        <v>45008</v>
      </c>
      <c r="B111" s="1">
        <v>3841.4249999999984</v>
      </c>
      <c r="C111" s="1">
        <v>1600</v>
      </c>
      <c r="D111" s="1">
        <v>-2241.4249999999988</v>
      </c>
      <c r="E111" s="1">
        <v>564.14999999999975</v>
      </c>
      <c r="F111" s="1">
        <v>1250</v>
      </c>
      <c r="G111" s="1">
        <v>685.85000000000025</v>
      </c>
      <c r="H111" s="1">
        <v>218</v>
      </c>
      <c r="I111" s="1">
        <v>600</v>
      </c>
      <c r="J111" s="1">
        <v>382</v>
      </c>
      <c r="K111" s="1">
        <v>220.83333333333331</v>
      </c>
      <c r="L111" s="1">
        <v>280</v>
      </c>
      <c r="M111" s="1">
        <v>59.166666666666686</v>
      </c>
      <c r="N111" s="1">
        <v>2316.6666666666665</v>
      </c>
      <c r="O111" s="1">
        <v>3730</v>
      </c>
      <c r="P111" s="1">
        <v>-1114.4083333333317</v>
      </c>
      <c r="Q111" s="1">
        <v>-3431.074999999998</v>
      </c>
      <c r="R111">
        <f>YEAR(tbl_daily[[#This Row],[Date]])</f>
        <v>2023</v>
      </c>
      <c r="S111" t="str">
        <f>TEXT(tbl_daily[[#This Row],[Date]],"mmmm")</f>
        <v>March</v>
      </c>
      <c r="T111">
        <f>MONTH(tbl_daily[[#This Row],[Date]])</f>
        <v>3</v>
      </c>
      <c r="U111" t="str">
        <f>"Q"&amp;ROUNDUP(MONTH(tbl_daily[[#This Row],[Date]])/3,0)</f>
        <v>Q1</v>
      </c>
      <c r="V111" t="str">
        <f>TEXT(tbl_daily[[#This Row],[Date]],"dddd")</f>
        <v>Thursday</v>
      </c>
      <c r="W111" t="str">
        <f t="shared" si="3"/>
        <v>Loss</v>
      </c>
      <c r="X111">
        <f t="shared" si="4"/>
        <v>-29.876899016979401</v>
      </c>
      <c r="Y111">
        <f t="shared" si="5"/>
        <v>-91.98592493297582</v>
      </c>
    </row>
    <row r="112" spans="1:25">
      <c r="A112" s="3">
        <v>45009</v>
      </c>
      <c r="B112" s="1">
        <v>1103.4350000000013</v>
      </c>
      <c r="C112" s="1">
        <v>2790</v>
      </c>
      <c r="D112" s="1">
        <v>1686.5649999999987</v>
      </c>
      <c r="E112" s="1">
        <v>638.80000000000007</v>
      </c>
      <c r="F112" s="1">
        <v>1250</v>
      </c>
      <c r="G112" s="1">
        <v>611.19999999999993</v>
      </c>
      <c r="H112" s="1">
        <v>122</v>
      </c>
      <c r="I112" s="1">
        <v>450</v>
      </c>
      <c r="J112" s="1">
        <v>328</v>
      </c>
      <c r="K112" s="1">
        <v>819.16666666666652</v>
      </c>
      <c r="L112" s="1">
        <v>1040</v>
      </c>
      <c r="M112" s="1">
        <v>220.83333333333337</v>
      </c>
      <c r="N112" s="1">
        <v>2316.6666666666665</v>
      </c>
      <c r="O112" s="1">
        <v>5530</v>
      </c>
      <c r="P112" s="1">
        <v>2846.598333333332</v>
      </c>
      <c r="Q112" s="1">
        <v>529.93166666666548</v>
      </c>
      <c r="R112">
        <f>YEAR(tbl_daily[[#This Row],[Date]])</f>
        <v>2023</v>
      </c>
      <c r="S112" t="str">
        <f>TEXT(tbl_daily[[#This Row],[Date]],"mmmm")</f>
        <v>March</v>
      </c>
      <c r="T112">
        <f>MONTH(tbl_daily[[#This Row],[Date]])</f>
        <v>3</v>
      </c>
      <c r="U112" t="str">
        <f>"Q"&amp;ROUNDUP(MONTH(tbl_daily[[#This Row],[Date]])/3,0)</f>
        <v>Q1</v>
      </c>
      <c r="V112" t="str">
        <f>TEXT(tbl_daily[[#This Row],[Date]],"dddd")</f>
        <v>Friday</v>
      </c>
      <c r="W112" t="str">
        <f t="shared" si="3"/>
        <v>Profitable</v>
      </c>
      <c r="X112">
        <f t="shared" si="4"/>
        <v>51.475557564798045</v>
      </c>
      <c r="Y112">
        <f t="shared" si="5"/>
        <v>9.582851115129575</v>
      </c>
    </row>
    <row r="113" spans="1:25">
      <c r="A113" s="3">
        <v>45010</v>
      </c>
      <c r="B113" s="1">
        <v>2003.1949999999997</v>
      </c>
      <c r="C113" s="1">
        <v>3740</v>
      </c>
      <c r="D113" s="1">
        <v>1736.8050000000003</v>
      </c>
      <c r="E113" s="1">
        <v>331.95000000000016</v>
      </c>
      <c r="F113" s="1">
        <v>750</v>
      </c>
      <c r="G113" s="1">
        <v>418.04999999999984</v>
      </c>
      <c r="H113" s="1">
        <v>90</v>
      </c>
      <c r="I113" s="1">
        <v>0</v>
      </c>
      <c r="J113" s="1">
        <v>-90</v>
      </c>
      <c r="K113" s="1">
        <v>1252.4999999999998</v>
      </c>
      <c r="L113" s="1">
        <v>1460</v>
      </c>
      <c r="M113" s="1">
        <v>207.50000000000023</v>
      </c>
      <c r="N113" s="1">
        <v>2316.6666666666665</v>
      </c>
      <c r="O113" s="1">
        <v>5950</v>
      </c>
      <c r="P113" s="1">
        <v>2272.3550000000005</v>
      </c>
      <c r="Q113" s="1">
        <v>-44.311666666666042</v>
      </c>
      <c r="R113">
        <f>YEAR(tbl_daily[[#This Row],[Date]])</f>
        <v>2023</v>
      </c>
      <c r="S113" t="str">
        <f>TEXT(tbl_daily[[#This Row],[Date]],"mmmm")</f>
        <v>March</v>
      </c>
      <c r="T113">
        <f>MONTH(tbl_daily[[#This Row],[Date]])</f>
        <v>3</v>
      </c>
      <c r="U113" t="str">
        <f>"Q"&amp;ROUNDUP(MONTH(tbl_daily[[#This Row],[Date]])/3,0)</f>
        <v>Q1</v>
      </c>
      <c r="V113" t="str">
        <f>TEXT(tbl_daily[[#This Row],[Date]],"dddd")</f>
        <v>Saturday</v>
      </c>
      <c r="W113" t="str">
        <f t="shared" si="3"/>
        <v>Loss</v>
      </c>
      <c r="X113">
        <f t="shared" si="4"/>
        <v>38.190840336134464</v>
      </c>
      <c r="Y113">
        <f t="shared" si="5"/>
        <v>-0.74473389355741249</v>
      </c>
    </row>
    <row r="114" spans="1:25">
      <c r="A114" s="3">
        <v>45011</v>
      </c>
      <c r="B114" s="1">
        <v>2551.9899999999993</v>
      </c>
      <c r="C114" s="1">
        <v>3140</v>
      </c>
      <c r="D114" s="1">
        <v>588.01000000000067</v>
      </c>
      <c r="E114" s="1">
        <v>234.30000000000013</v>
      </c>
      <c r="F114" s="1">
        <v>500</v>
      </c>
      <c r="G114" s="1">
        <v>265.69999999999987</v>
      </c>
      <c r="H114" s="1">
        <v>90</v>
      </c>
      <c r="I114" s="1">
        <v>0</v>
      </c>
      <c r="J114" s="1">
        <v>-90</v>
      </c>
      <c r="K114" s="1">
        <v>1090</v>
      </c>
      <c r="L114" s="1">
        <v>1360</v>
      </c>
      <c r="M114" s="1">
        <v>270</v>
      </c>
      <c r="N114" s="1">
        <v>2316.6666666666665</v>
      </c>
      <c r="O114" s="1">
        <v>5000</v>
      </c>
      <c r="P114" s="1">
        <v>1033.7100000000005</v>
      </c>
      <c r="Q114" s="1">
        <v>-1282.956666666666</v>
      </c>
      <c r="R114">
        <f>YEAR(tbl_daily[[#This Row],[Date]])</f>
        <v>2023</v>
      </c>
      <c r="S114" t="str">
        <f>TEXT(tbl_daily[[#This Row],[Date]],"mmmm")</f>
        <v>March</v>
      </c>
      <c r="T114">
        <f>MONTH(tbl_daily[[#This Row],[Date]])</f>
        <v>3</v>
      </c>
      <c r="U114" t="str">
        <f>"Q"&amp;ROUNDUP(MONTH(tbl_daily[[#This Row],[Date]])/3,0)</f>
        <v>Q1</v>
      </c>
      <c r="V114" t="str">
        <f>TEXT(tbl_daily[[#This Row],[Date]],"dddd")</f>
        <v>Sunday</v>
      </c>
      <c r="W114" t="str">
        <f t="shared" si="3"/>
        <v>Loss</v>
      </c>
      <c r="X114">
        <f t="shared" si="4"/>
        <v>20.67420000000001</v>
      </c>
      <c r="Y114">
        <f t="shared" si="5"/>
        <v>-25.659133333333322</v>
      </c>
    </row>
    <row r="115" spans="1:25">
      <c r="A115" s="3">
        <v>45012</v>
      </c>
      <c r="B115" s="1">
        <v>1744.7349999999999</v>
      </c>
      <c r="C115" s="1">
        <v>2280</v>
      </c>
      <c r="D115" s="1">
        <v>535.26499999999987</v>
      </c>
      <c r="E115" s="1">
        <v>337.5</v>
      </c>
      <c r="F115" s="1">
        <v>500</v>
      </c>
      <c r="G115" s="1">
        <v>162.5</v>
      </c>
      <c r="H115" s="1">
        <v>90</v>
      </c>
      <c r="I115" s="1">
        <v>0</v>
      </c>
      <c r="J115" s="1">
        <v>-90</v>
      </c>
      <c r="K115" s="1">
        <v>884.16666666666674</v>
      </c>
      <c r="L115" s="1">
        <v>1120</v>
      </c>
      <c r="M115" s="1">
        <v>235.83333333333329</v>
      </c>
      <c r="N115" s="1">
        <v>2316.6666666666665</v>
      </c>
      <c r="O115" s="1">
        <v>3900</v>
      </c>
      <c r="P115" s="1">
        <v>843.59833333333313</v>
      </c>
      <c r="Q115" s="1">
        <v>-1473.0683333333334</v>
      </c>
      <c r="R115">
        <f>YEAR(tbl_daily[[#This Row],[Date]])</f>
        <v>2023</v>
      </c>
      <c r="S115" t="str">
        <f>TEXT(tbl_daily[[#This Row],[Date]],"mmmm")</f>
        <v>March</v>
      </c>
      <c r="T115">
        <f>MONTH(tbl_daily[[#This Row],[Date]])</f>
        <v>3</v>
      </c>
      <c r="U115" t="str">
        <f>"Q"&amp;ROUNDUP(MONTH(tbl_daily[[#This Row],[Date]])/3,0)</f>
        <v>Q1</v>
      </c>
      <c r="V115" t="str">
        <f>TEXT(tbl_daily[[#This Row],[Date]],"dddd")</f>
        <v>Monday</v>
      </c>
      <c r="W115" t="str">
        <f t="shared" si="3"/>
        <v>Loss</v>
      </c>
      <c r="X115">
        <f t="shared" si="4"/>
        <v>21.630726495726492</v>
      </c>
      <c r="Y115">
        <f t="shared" si="5"/>
        <v>-37.770982905982905</v>
      </c>
    </row>
    <row r="116" spans="1:25">
      <c r="A116" s="3">
        <v>45013</v>
      </c>
      <c r="B116" s="1">
        <v>1504.38</v>
      </c>
      <c r="C116" s="1">
        <v>1730</v>
      </c>
      <c r="D116" s="1">
        <v>225.62000000000012</v>
      </c>
      <c r="E116" s="1">
        <v>877.2</v>
      </c>
      <c r="F116" s="1">
        <v>1750</v>
      </c>
      <c r="G116" s="1">
        <v>872.8</v>
      </c>
      <c r="H116" s="1">
        <v>90</v>
      </c>
      <c r="I116" s="1">
        <v>0</v>
      </c>
      <c r="J116" s="1">
        <v>-90</v>
      </c>
      <c r="K116" s="1">
        <v>855</v>
      </c>
      <c r="L116" s="1">
        <v>1080</v>
      </c>
      <c r="M116" s="1">
        <v>225</v>
      </c>
      <c r="N116" s="1">
        <v>2316.6666666666665</v>
      </c>
      <c r="O116" s="1">
        <v>4560</v>
      </c>
      <c r="P116" s="1">
        <v>1233.42</v>
      </c>
      <c r="Q116" s="1">
        <v>-1083.2466666666664</v>
      </c>
      <c r="R116">
        <f>YEAR(tbl_daily[[#This Row],[Date]])</f>
        <v>2023</v>
      </c>
      <c r="S116" t="str">
        <f>TEXT(tbl_daily[[#This Row],[Date]],"mmmm")</f>
        <v>March</v>
      </c>
      <c r="T116">
        <f>MONTH(tbl_daily[[#This Row],[Date]])</f>
        <v>3</v>
      </c>
      <c r="U116" t="str">
        <f>"Q"&amp;ROUNDUP(MONTH(tbl_daily[[#This Row],[Date]])/3,0)</f>
        <v>Q1</v>
      </c>
      <c r="V116" t="str">
        <f>TEXT(tbl_daily[[#This Row],[Date]],"dddd")</f>
        <v>Tuesday</v>
      </c>
      <c r="W116" t="str">
        <f t="shared" si="3"/>
        <v>Loss</v>
      </c>
      <c r="X116">
        <f t="shared" si="4"/>
        <v>27.048684210526318</v>
      </c>
      <c r="Y116">
        <f t="shared" si="5"/>
        <v>-23.755409356725142</v>
      </c>
    </row>
    <row r="117" spans="1:25">
      <c r="A117" s="3">
        <v>45014</v>
      </c>
      <c r="B117" s="1">
        <v>2584.0700000000006</v>
      </c>
      <c r="C117" s="1">
        <v>2970</v>
      </c>
      <c r="D117" s="1">
        <v>385.92999999999938</v>
      </c>
      <c r="E117" s="1">
        <v>282.75000000000011</v>
      </c>
      <c r="F117" s="1">
        <v>500</v>
      </c>
      <c r="G117" s="1">
        <v>217.24999999999989</v>
      </c>
      <c r="H117" s="1">
        <v>0</v>
      </c>
      <c r="I117" s="1">
        <v>0</v>
      </c>
      <c r="J117" s="1">
        <v>0</v>
      </c>
      <c r="K117" s="1">
        <v>668.33333333333326</v>
      </c>
      <c r="L117" s="1">
        <v>840</v>
      </c>
      <c r="M117" s="1">
        <v>171.66666666666674</v>
      </c>
      <c r="N117" s="1">
        <v>2316.6666666666665</v>
      </c>
      <c r="O117" s="1">
        <v>4310</v>
      </c>
      <c r="P117" s="1">
        <v>774.84666666666612</v>
      </c>
      <c r="Q117" s="1">
        <v>-1541.8200000000006</v>
      </c>
      <c r="R117">
        <f>YEAR(tbl_daily[[#This Row],[Date]])</f>
        <v>2023</v>
      </c>
      <c r="S117" t="str">
        <f>TEXT(tbl_daily[[#This Row],[Date]],"mmmm")</f>
        <v>March</v>
      </c>
      <c r="T117">
        <f>MONTH(tbl_daily[[#This Row],[Date]])</f>
        <v>3</v>
      </c>
      <c r="U117" t="str">
        <f>"Q"&amp;ROUNDUP(MONTH(tbl_daily[[#This Row],[Date]])/3,0)</f>
        <v>Q1</v>
      </c>
      <c r="V117" t="str">
        <f>TEXT(tbl_daily[[#This Row],[Date]],"dddd")</f>
        <v>Wednesday</v>
      </c>
      <c r="W117" t="str">
        <f t="shared" si="3"/>
        <v>Loss</v>
      </c>
      <c r="X117">
        <f t="shared" si="4"/>
        <v>17.977880897138427</v>
      </c>
      <c r="Y117">
        <f t="shared" si="5"/>
        <v>-35.773085846867765</v>
      </c>
    </row>
    <row r="118" spans="1:25">
      <c r="A118" s="3">
        <v>45015</v>
      </c>
      <c r="B118" s="1">
        <v>2709.94</v>
      </c>
      <c r="C118" s="1">
        <v>2500</v>
      </c>
      <c r="D118" s="1">
        <v>-209.94000000000003</v>
      </c>
      <c r="E118" s="1">
        <v>1078.4000000000001</v>
      </c>
      <c r="F118" s="1">
        <v>2680</v>
      </c>
      <c r="G118" s="1">
        <v>1601.6</v>
      </c>
      <c r="H118" s="1">
        <v>0</v>
      </c>
      <c r="I118" s="1">
        <v>0</v>
      </c>
      <c r="J118" s="1">
        <v>0</v>
      </c>
      <c r="K118" s="1">
        <v>481.66666666666663</v>
      </c>
      <c r="L118" s="1">
        <v>620</v>
      </c>
      <c r="M118" s="1">
        <v>138.33333333333337</v>
      </c>
      <c r="N118" s="1">
        <v>2316.6666666666665</v>
      </c>
      <c r="O118" s="1">
        <v>5800</v>
      </c>
      <c r="P118" s="1">
        <v>1529.9933333333331</v>
      </c>
      <c r="Q118" s="1">
        <v>-786.67333333333318</v>
      </c>
      <c r="R118">
        <f>YEAR(tbl_daily[[#This Row],[Date]])</f>
        <v>2023</v>
      </c>
      <c r="S118" t="str">
        <f>TEXT(tbl_daily[[#This Row],[Date]],"mmmm")</f>
        <v>March</v>
      </c>
      <c r="T118">
        <f>MONTH(tbl_daily[[#This Row],[Date]])</f>
        <v>3</v>
      </c>
      <c r="U118" t="str">
        <f>"Q"&amp;ROUNDUP(MONTH(tbl_daily[[#This Row],[Date]])/3,0)</f>
        <v>Q1</v>
      </c>
      <c r="V118" t="str">
        <f>TEXT(tbl_daily[[#This Row],[Date]],"dddd")</f>
        <v>Thursday</v>
      </c>
      <c r="W118" t="str">
        <f t="shared" si="3"/>
        <v>Loss</v>
      </c>
      <c r="X118">
        <f t="shared" si="4"/>
        <v>26.379195402298848</v>
      </c>
      <c r="Y118">
        <f t="shared" si="5"/>
        <v>-13.563333333333331</v>
      </c>
    </row>
    <row r="119" spans="1:25">
      <c r="A119" s="3">
        <v>45016</v>
      </c>
      <c r="B119" s="1">
        <v>1695.7800000000009</v>
      </c>
      <c r="C119" s="1">
        <v>2660</v>
      </c>
      <c r="D119" s="1">
        <v>964.219999999999</v>
      </c>
      <c r="E119" s="1">
        <v>948.65</v>
      </c>
      <c r="F119" s="1">
        <v>2250</v>
      </c>
      <c r="G119" s="1">
        <v>1301.3499999999999</v>
      </c>
      <c r="H119" s="1">
        <v>0</v>
      </c>
      <c r="I119" s="1">
        <v>0</v>
      </c>
      <c r="J119" s="1">
        <v>0</v>
      </c>
      <c r="K119" s="1">
        <v>911.66666666666652</v>
      </c>
      <c r="L119" s="1">
        <v>1140</v>
      </c>
      <c r="M119" s="1">
        <v>228.33333333333337</v>
      </c>
      <c r="N119" s="1">
        <v>2316.6666666666665</v>
      </c>
      <c r="O119" s="1">
        <v>6050</v>
      </c>
      <c r="P119" s="1">
        <v>2493.9033333333323</v>
      </c>
      <c r="Q119" s="1">
        <v>177.23666666666577</v>
      </c>
      <c r="R119">
        <f>YEAR(tbl_daily[[#This Row],[Date]])</f>
        <v>2023</v>
      </c>
      <c r="S119" t="str">
        <f>TEXT(tbl_daily[[#This Row],[Date]],"mmmm")</f>
        <v>March</v>
      </c>
      <c r="T119">
        <f>MONTH(tbl_daily[[#This Row],[Date]])</f>
        <v>3</v>
      </c>
      <c r="U119" t="str">
        <f>"Q"&amp;ROUNDUP(MONTH(tbl_daily[[#This Row],[Date]])/3,0)</f>
        <v>Q1</v>
      </c>
      <c r="V119" t="str">
        <f>TEXT(tbl_daily[[#This Row],[Date]],"dddd")</f>
        <v>Friday</v>
      </c>
      <c r="W119" t="str">
        <f t="shared" si="3"/>
        <v>Profitable</v>
      </c>
      <c r="X119">
        <f t="shared" si="4"/>
        <v>41.221542699724502</v>
      </c>
      <c r="Y119">
        <f t="shared" si="5"/>
        <v>2.9295316804407565</v>
      </c>
    </row>
    <row r="120" spans="1:25">
      <c r="A120" s="3">
        <v>45017</v>
      </c>
      <c r="B120" s="1">
        <v>2618.494999999999</v>
      </c>
      <c r="C120" s="1">
        <v>2620</v>
      </c>
      <c r="D120" s="1">
        <v>1.5050000000010186</v>
      </c>
      <c r="E120" s="1">
        <v>410.24999999999994</v>
      </c>
      <c r="F120" s="1">
        <v>1000</v>
      </c>
      <c r="G120" s="1">
        <v>589.75</v>
      </c>
      <c r="H120" s="1">
        <v>0</v>
      </c>
      <c r="I120" s="1">
        <v>0</v>
      </c>
      <c r="J120" s="1">
        <v>0</v>
      </c>
      <c r="K120" s="1">
        <v>279.16666666666669</v>
      </c>
      <c r="L120" s="1">
        <v>360</v>
      </c>
      <c r="M120" s="1">
        <v>80.833333333333314</v>
      </c>
      <c r="N120" s="1">
        <v>2316.6666666666665</v>
      </c>
      <c r="O120" s="1">
        <v>3980</v>
      </c>
      <c r="P120" s="1">
        <v>672.08833333333428</v>
      </c>
      <c r="Q120" s="1">
        <v>-1644.5783333333322</v>
      </c>
      <c r="R120">
        <f>YEAR(tbl_daily[[#This Row],[Date]])</f>
        <v>2023</v>
      </c>
      <c r="S120" t="str">
        <f>TEXT(tbl_daily[[#This Row],[Date]],"mmmm")</f>
        <v>April</v>
      </c>
      <c r="T120">
        <f>MONTH(tbl_daily[[#This Row],[Date]])</f>
        <v>4</v>
      </c>
      <c r="U120" t="str">
        <f>"Q"&amp;ROUNDUP(MONTH(tbl_daily[[#This Row],[Date]])/3,0)</f>
        <v>Q2</v>
      </c>
      <c r="V120" t="str">
        <f>TEXT(tbl_daily[[#This Row],[Date]],"dddd")</f>
        <v>Saturday</v>
      </c>
      <c r="W120" t="str">
        <f t="shared" si="3"/>
        <v>Loss</v>
      </c>
      <c r="X120">
        <f t="shared" si="4"/>
        <v>16.88664154103855</v>
      </c>
      <c r="Y120">
        <f t="shared" si="5"/>
        <v>-41.32106365159126</v>
      </c>
    </row>
    <row r="121" spans="1:25">
      <c r="A121" s="3">
        <v>45018</v>
      </c>
      <c r="B121" s="1">
        <v>1810.1199999999983</v>
      </c>
      <c r="C121" s="1">
        <v>2460</v>
      </c>
      <c r="D121" s="1">
        <v>649.88000000000147</v>
      </c>
      <c r="E121" s="1">
        <v>346.19999999999993</v>
      </c>
      <c r="F121" s="1">
        <v>750</v>
      </c>
      <c r="G121" s="1">
        <v>403.80000000000007</v>
      </c>
      <c r="H121" s="1">
        <v>0</v>
      </c>
      <c r="I121" s="1">
        <v>0</v>
      </c>
      <c r="J121" s="1">
        <v>0</v>
      </c>
      <c r="K121" s="1">
        <v>597.5</v>
      </c>
      <c r="L121" s="1">
        <v>740</v>
      </c>
      <c r="M121" s="1">
        <v>142.5</v>
      </c>
      <c r="N121" s="1">
        <v>2316.6666666666665</v>
      </c>
      <c r="O121" s="1">
        <v>3950</v>
      </c>
      <c r="P121" s="1">
        <v>1196.1800000000017</v>
      </c>
      <c r="Q121" s="1">
        <v>-1120.4866666666649</v>
      </c>
      <c r="R121">
        <f>YEAR(tbl_daily[[#This Row],[Date]])</f>
        <v>2023</v>
      </c>
      <c r="S121" t="str">
        <f>TEXT(tbl_daily[[#This Row],[Date]],"mmmm")</f>
        <v>April</v>
      </c>
      <c r="T121">
        <f>MONTH(tbl_daily[[#This Row],[Date]])</f>
        <v>4</v>
      </c>
      <c r="U121" t="str">
        <f>"Q"&amp;ROUNDUP(MONTH(tbl_daily[[#This Row],[Date]])/3,0)</f>
        <v>Q2</v>
      </c>
      <c r="V121" t="str">
        <f>TEXT(tbl_daily[[#This Row],[Date]],"dddd")</f>
        <v>Sunday</v>
      </c>
      <c r="W121" t="str">
        <f t="shared" si="3"/>
        <v>Loss</v>
      </c>
      <c r="X121">
        <f t="shared" si="4"/>
        <v>30.283037974683584</v>
      </c>
      <c r="Y121">
        <f t="shared" si="5"/>
        <v>-28.366751054852273</v>
      </c>
    </row>
    <row r="122" spans="1:25">
      <c r="A122" s="3">
        <v>45019</v>
      </c>
      <c r="B122" s="1">
        <v>2147.7200000000003</v>
      </c>
      <c r="C122" s="1">
        <v>2530</v>
      </c>
      <c r="D122" s="1">
        <v>382.27999999999975</v>
      </c>
      <c r="E122" s="1">
        <v>1608.0500000000002</v>
      </c>
      <c r="F122" s="1">
        <v>3000</v>
      </c>
      <c r="G122" s="1">
        <v>1391.9499999999998</v>
      </c>
      <c r="H122" s="1">
        <v>90</v>
      </c>
      <c r="I122" s="1">
        <v>900</v>
      </c>
      <c r="J122" s="1">
        <v>810</v>
      </c>
      <c r="K122" s="1">
        <v>727.5</v>
      </c>
      <c r="L122" s="1">
        <v>910</v>
      </c>
      <c r="M122" s="1">
        <v>182.5</v>
      </c>
      <c r="N122" s="1">
        <v>2316.6666666666665</v>
      </c>
      <c r="O122" s="1">
        <v>7340</v>
      </c>
      <c r="P122" s="1">
        <v>2766.7299999999996</v>
      </c>
      <c r="Q122" s="1">
        <v>450.06333333333305</v>
      </c>
      <c r="R122">
        <f>YEAR(tbl_daily[[#This Row],[Date]])</f>
        <v>2023</v>
      </c>
      <c r="S122" t="str">
        <f>TEXT(tbl_daily[[#This Row],[Date]],"mmmm")</f>
        <v>April</v>
      </c>
      <c r="T122">
        <f>MONTH(tbl_daily[[#This Row],[Date]])</f>
        <v>4</v>
      </c>
      <c r="U122" t="str">
        <f>"Q"&amp;ROUNDUP(MONTH(tbl_daily[[#This Row],[Date]])/3,0)</f>
        <v>Q2</v>
      </c>
      <c r="V122" t="str">
        <f>TEXT(tbl_daily[[#This Row],[Date]],"dddd")</f>
        <v>Monday</v>
      </c>
      <c r="W122" t="str">
        <f t="shared" si="3"/>
        <v>Profitable</v>
      </c>
      <c r="X122">
        <f t="shared" si="4"/>
        <v>37.693869209809264</v>
      </c>
      <c r="Y122">
        <f t="shared" si="5"/>
        <v>6.1316530426884608</v>
      </c>
    </row>
    <row r="123" spans="1:25">
      <c r="A123" s="3">
        <v>45020</v>
      </c>
      <c r="B123" s="1">
        <v>3060.8000000000011</v>
      </c>
      <c r="C123" s="1">
        <v>2130</v>
      </c>
      <c r="D123" s="1">
        <v>-930.80000000000109</v>
      </c>
      <c r="E123" s="1">
        <v>1091.2</v>
      </c>
      <c r="F123" s="1">
        <v>1750</v>
      </c>
      <c r="G123" s="1">
        <v>658.8</v>
      </c>
      <c r="H123" s="1">
        <v>150</v>
      </c>
      <c r="I123" s="1">
        <v>1500</v>
      </c>
      <c r="J123" s="1">
        <v>1350</v>
      </c>
      <c r="K123" s="1">
        <v>996.66666666666652</v>
      </c>
      <c r="L123" s="1">
        <v>1260</v>
      </c>
      <c r="M123" s="1">
        <v>263.33333333333337</v>
      </c>
      <c r="N123" s="1">
        <v>2316.6666666666665</v>
      </c>
      <c r="O123" s="1">
        <v>6640</v>
      </c>
      <c r="P123" s="1">
        <v>1341.3333333333319</v>
      </c>
      <c r="Q123" s="1">
        <v>-975.33333333333439</v>
      </c>
      <c r="R123">
        <f>YEAR(tbl_daily[[#This Row],[Date]])</f>
        <v>2023</v>
      </c>
      <c r="S123" t="str">
        <f>TEXT(tbl_daily[[#This Row],[Date]],"mmmm")</f>
        <v>April</v>
      </c>
      <c r="T123">
        <f>MONTH(tbl_daily[[#This Row],[Date]])</f>
        <v>4</v>
      </c>
      <c r="U123" t="str">
        <f>"Q"&amp;ROUNDUP(MONTH(tbl_daily[[#This Row],[Date]])/3,0)</f>
        <v>Q2</v>
      </c>
      <c r="V123" t="str">
        <f>TEXT(tbl_daily[[#This Row],[Date]],"dddd")</f>
        <v>Tuesday</v>
      </c>
      <c r="W123" t="str">
        <f t="shared" si="3"/>
        <v>Loss</v>
      </c>
      <c r="X123">
        <f t="shared" si="4"/>
        <v>20.200803212851383</v>
      </c>
      <c r="Y123">
        <f t="shared" si="5"/>
        <v>-14.688755020080338</v>
      </c>
    </row>
    <row r="124" spans="1:25">
      <c r="A124" s="3">
        <v>45021</v>
      </c>
      <c r="B124" s="1">
        <v>2397.4899999999993</v>
      </c>
      <c r="C124" s="1">
        <v>2420</v>
      </c>
      <c r="D124" s="1">
        <v>22.510000000000673</v>
      </c>
      <c r="E124" s="1">
        <v>283.90000000000003</v>
      </c>
      <c r="F124" s="1">
        <v>500</v>
      </c>
      <c r="G124" s="1">
        <v>216.09999999999997</v>
      </c>
      <c r="H124" s="1">
        <v>0</v>
      </c>
      <c r="I124" s="1">
        <v>0</v>
      </c>
      <c r="J124" s="1">
        <v>0</v>
      </c>
      <c r="K124" s="1">
        <v>353.33333333333331</v>
      </c>
      <c r="L124" s="1">
        <v>490</v>
      </c>
      <c r="M124" s="1">
        <v>136.66666666666669</v>
      </c>
      <c r="N124" s="1">
        <v>2316.6666666666665</v>
      </c>
      <c r="O124" s="1">
        <v>3410</v>
      </c>
      <c r="P124" s="1">
        <v>375.27666666666738</v>
      </c>
      <c r="Q124" s="1">
        <v>-1941.3899999999992</v>
      </c>
      <c r="R124">
        <f>YEAR(tbl_daily[[#This Row],[Date]])</f>
        <v>2023</v>
      </c>
      <c r="S124" t="str">
        <f>TEXT(tbl_daily[[#This Row],[Date]],"mmmm")</f>
        <v>April</v>
      </c>
      <c r="T124">
        <f>MONTH(tbl_daily[[#This Row],[Date]])</f>
        <v>4</v>
      </c>
      <c r="U124" t="str">
        <f>"Q"&amp;ROUNDUP(MONTH(tbl_daily[[#This Row],[Date]])/3,0)</f>
        <v>Q2</v>
      </c>
      <c r="V124" t="str">
        <f>TEXT(tbl_daily[[#This Row],[Date]],"dddd")</f>
        <v>Wednesday</v>
      </c>
      <c r="W124" t="str">
        <f t="shared" si="3"/>
        <v>Loss</v>
      </c>
      <c r="X124">
        <f t="shared" si="4"/>
        <v>11.005180840664734</v>
      </c>
      <c r="Y124">
        <f t="shared" si="5"/>
        <v>-56.932258064516105</v>
      </c>
    </row>
    <row r="125" spans="1:25">
      <c r="A125" s="3">
        <v>45022</v>
      </c>
      <c r="B125" s="1">
        <v>1980.5800000000008</v>
      </c>
      <c r="C125" s="1">
        <v>2120</v>
      </c>
      <c r="D125" s="1">
        <v>139.41999999999939</v>
      </c>
      <c r="E125" s="1">
        <v>471.95</v>
      </c>
      <c r="F125" s="1">
        <v>1000</v>
      </c>
      <c r="G125" s="1">
        <v>528.04999999999995</v>
      </c>
      <c r="H125" s="1">
        <v>0</v>
      </c>
      <c r="I125" s="1">
        <v>0</v>
      </c>
      <c r="J125" s="1">
        <v>0</v>
      </c>
      <c r="K125" s="1">
        <v>378.33333333333337</v>
      </c>
      <c r="L125" s="1">
        <v>490</v>
      </c>
      <c r="M125" s="1">
        <v>111.66666666666664</v>
      </c>
      <c r="N125" s="1">
        <v>2316.6666666666665</v>
      </c>
      <c r="O125" s="1">
        <v>3610</v>
      </c>
      <c r="P125" s="1">
        <v>779.13666666666597</v>
      </c>
      <c r="Q125" s="1">
        <v>-1537.5300000000009</v>
      </c>
      <c r="R125">
        <f>YEAR(tbl_daily[[#This Row],[Date]])</f>
        <v>2023</v>
      </c>
      <c r="S125" t="str">
        <f>TEXT(tbl_daily[[#This Row],[Date]],"mmmm")</f>
        <v>April</v>
      </c>
      <c r="T125">
        <f>MONTH(tbl_daily[[#This Row],[Date]])</f>
        <v>4</v>
      </c>
      <c r="U125" t="str">
        <f>"Q"&amp;ROUNDUP(MONTH(tbl_daily[[#This Row],[Date]])/3,0)</f>
        <v>Q2</v>
      </c>
      <c r="V125" t="str">
        <f>TEXT(tbl_daily[[#This Row],[Date]],"dddd")</f>
        <v>Thursday</v>
      </c>
      <c r="W125" t="str">
        <f t="shared" si="3"/>
        <v>Loss</v>
      </c>
      <c r="X125">
        <f t="shared" si="4"/>
        <v>21.582733148661106</v>
      </c>
      <c r="Y125">
        <f t="shared" si="5"/>
        <v>-42.590858725761798</v>
      </c>
    </row>
    <row r="126" spans="1:25">
      <c r="A126" s="3">
        <v>45023</v>
      </c>
      <c r="B126" s="1">
        <v>2258.58</v>
      </c>
      <c r="C126" s="1">
        <v>3700</v>
      </c>
      <c r="D126" s="1">
        <v>1441.42</v>
      </c>
      <c r="E126" s="1">
        <v>371.84999999999985</v>
      </c>
      <c r="F126" s="1">
        <v>250</v>
      </c>
      <c r="G126" s="1">
        <v>-121.84999999999984</v>
      </c>
      <c r="H126" s="1">
        <v>35</v>
      </c>
      <c r="I126" s="1">
        <v>550</v>
      </c>
      <c r="J126" s="1">
        <v>515</v>
      </c>
      <c r="K126" s="1">
        <v>883.33333333333326</v>
      </c>
      <c r="L126" s="1">
        <v>1100</v>
      </c>
      <c r="M126" s="1">
        <v>216.66666666666671</v>
      </c>
      <c r="N126" s="1">
        <v>2316.6666666666665</v>
      </c>
      <c r="O126" s="1">
        <v>5600</v>
      </c>
      <c r="P126" s="1">
        <v>2051.2366666666667</v>
      </c>
      <c r="Q126" s="1">
        <v>-265.42999999999984</v>
      </c>
      <c r="R126">
        <f>YEAR(tbl_daily[[#This Row],[Date]])</f>
        <v>2023</v>
      </c>
      <c r="S126" t="str">
        <f>TEXT(tbl_daily[[#This Row],[Date]],"mmmm")</f>
        <v>April</v>
      </c>
      <c r="T126">
        <f>MONTH(tbl_daily[[#This Row],[Date]])</f>
        <v>4</v>
      </c>
      <c r="U126" t="str">
        <f>"Q"&amp;ROUNDUP(MONTH(tbl_daily[[#This Row],[Date]])/3,0)</f>
        <v>Q2</v>
      </c>
      <c r="V126" t="str">
        <f>TEXT(tbl_daily[[#This Row],[Date]],"dddd")</f>
        <v>Friday</v>
      </c>
      <c r="W126" t="str">
        <f t="shared" si="3"/>
        <v>Loss</v>
      </c>
      <c r="X126">
        <f t="shared" si="4"/>
        <v>36.629226190476189</v>
      </c>
      <c r="Y126">
        <f t="shared" si="5"/>
        <v>-4.7398214285714255</v>
      </c>
    </row>
    <row r="127" spans="1:25">
      <c r="A127" s="3">
        <v>45024</v>
      </c>
      <c r="B127" s="1">
        <v>1979.7500000000009</v>
      </c>
      <c r="C127" s="1">
        <v>2860</v>
      </c>
      <c r="D127" s="1">
        <v>880.24999999999932</v>
      </c>
      <c r="E127" s="1">
        <v>192.95</v>
      </c>
      <c r="F127" s="1">
        <v>250</v>
      </c>
      <c r="G127" s="1">
        <v>57.049999999999983</v>
      </c>
      <c r="H127" s="1">
        <v>103</v>
      </c>
      <c r="I127" s="1">
        <v>350</v>
      </c>
      <c r="J127" s="1">
        <v>247</v>
      </c>
      <c r="K127" s="1">
        <v>1283.3333333333333</v>
      </c>
      <c r="L127" s="1">
        <v>1600</v>
      </c>
      <c r="M127" s="1">
        <v>316.66666666666674</v>
      </c>
      <c r="N127" s="1">
        <v>2316.6666666666665</v>
      </c>
      <c r="O127" s="1">
        <v>5060</v>
      </c>
      <c r="P127" s="1">
        <v>1500.966666666666</v>
      </c>
      <c r="Q127" s="1">
        <v>-815.7000000000005</v>
      </c>
      <c r="R127">
        <f>YEAR(tbl_daily[[#This Row],[Date]])</f>
        <v>2023</v>
      </c>
      <c r="S127" t="str">
        <f>TEXT(tbl_daily[[#This Row],[Date]],"mmmm")</f>
        <v>April</v>
      </c>
      <c r="T127">
        <f>MONTH(tbl_daily[[#This Row],[Date]])</f>
        <v>4</v>
      </c>
      <c r="U127" t="str">
        <f>"Q"&amp;ROUNDUP(MONTH(tbl_daily[[#This Row],[Date]])/3,0)</f>
        <v>Q2</v>
      </c>
      <c r="V127" t="str">
        <f>TEXT(tbl_daily[[#This Row],[Date]],"dddd")</f>
        <v>Saturday</v>
      </c>
      <c r="W127" t="str">
        <f t="shared" si="3"/>
        <v>Loss</v>
      </c>
      <c r="X127">
        <f t="shared" si="4"/>
        <v>29.663372859025021</v>
      </c>
      <c r="Y127">
        <f t="shared" si="5"/>
        <v>-16.120553359683804</v>
      </c>
    </row>
    <row r="128" spans="1:25">
      <c r="A128" s="3">
        <v>45025</v>
      </c>
      <c r="B128" s="1">
        <v>2459.6350000000002</v>
      </c>
      <c r="C128" s="1">
        <v>2590</v>
      </c>
      <c r="D128" s="1">
        <v>130.36500000000024</v>
      </c>
      <c r="E128" s="1">
        <v>1264.4000000000001</v>
      </c>
      <c r="F128" s="1">
        <v>2070</v>
      </c>
      <c r="G128" s="1">
        <v>805.60000000000014</v>
      </c>
      <c r="H128" s="1">
        <v>0</v>
      </c>
      <c r="I128" s="1">
        <v>900</v>
      </c>
      <c r="J128" s="1">
        <v>900</v>
      </c>
      <c r="K128" s="1">
        <v>655.83333333333326</v>
      </c>
      <c r="L128" s="1">
        <v>850</v>
      </c>
      <c r="M128" s="1">
        <v>194.16666666666671</v>
      </c>
      <c r="N128" s="1">
        <v>2316.6666666666665</v>
      </c>
      <c r="O128" s="1">
        <v>6410</v>
      </c>
      <c r="P128" s="1">
        <v>2030.1316666666671</v>
      </c>
      <c r="Q128" s="1">
        <v>-286.5349999999994</v>
      </c>
      <c r="R128">
        <f>YEAR(tbl_daily[[#This Row],[Date]])</f>
        <v>2023</v>
      </c>
      <c r="S128" t="str">
        <f>TEXT(tbl_daily[[#This Row],[Date]],"mmmm")</f>
        <v>April</v>
      </c>
      <c r="T128">
        <f>MONTH(tbl_daily[[#This Row],[Date]])</f>
        <v>4</v>
      </c>
      <c r="U128" t="str">
        <f>"Q"&amp;ROUNDUP(MONTH(tbl_daily[[#This Row],[Date]])/3,0)</f>
        <v>Q2</v>
      </c>
      <c r="V128" t="str">
        <f>TEXT(tbl_daily[[#This Row],[Date]],"dddd")</f>
        <v>Sunday</v>
      </c>
      <c r="W128" t="str">
        <f t="shared" si="3"/>
        <v>Loss</v>
      </c>
      <c r="X128">
        <f t="shared" si="4"/>
        <v>31.671320852834121</v>
      </c>
      <c r="Y128">
        <f t="shared" si="5"/>
        <v>-4.4701248049921904</v>
      </c>
    </row>
    <row r="129" spans="1:25">
      <c r="A129" s="3">
        <v>45026</v>
      </c>
      <c r="B129" s="1">
        <v>1990.4950000000008</v>
      </c>
      <c r="C129" s="1">
        <v>2410</v>
      </c>
      <c r="D129" s="1">
        <v>419.50499999999943</v>
      </c>
      <c r="E129" s="1">
        <v>913.39999999999986</v>
      </c>
      <c r="F129" s="1">
        <v>1750</v>
      </c>
      <c r="G129" s="1">
        <v>836.60000000000014</v>
      </c>
      <c r="H129" s="1">
        <v>0</v>
      </c>
      <c r="I129" s="1">
        <v>0</v>
      </c>
      <c r="J129" s="1">
        <v>0</v>
      </c>
      <c r="K129" s="1">
        <v>1058.3333333333333</v>
      </c>
      <c r="L129" s="1">
        <v>1330</v>
      </c>
      <c r="M129" s="1">
        <v>271.66666666666674</v>
      </c>
      <c r="N129" s="1">
        <v>2316.6666666666665</v>
      </c>
      <c r="O129" s="1">
        <v>5490</v>
      </c>
      <c r="P129" s="1">
        <v>1527.7716666666663</v>
      </c>
      <c r="Q129" s="1">
        <v>-788.89500000000021</v>
      </c>
      <c r="R129">
        <f>YEAR(tbl_daily[[#This Row],[Date]])</f>
        <v>2023</v>
      </c>
      <c r="S129" t="str">
        <f>TEXT(tbl_daily[[#This Row],[Date]],"mmmm")</f>
        <v>April</v>
      </c>
      <c r="T129">
        <f>MONTH(tbl_daily[[#This Row],[Date]])</f>
        <v>4</v>
      </c>
      <c r="U129" t="str">
        <f>"Q"&amp;ROUNDUP(MONTH(tbl_daily[[#This Row],[Date]])/3,0)</f>
        <v>Q2</v>
      </c>
      <c r="V129" t="str">
        <f>TEXT(tbl_daily[[#This Row],[Date]],"dddd")</f>
        <v>Monday</v>
      </c>
      <c r="W129" t="str">
        <f t="shared" si="3"/>
        <v>Loss</v>
      </c>
      <c r="X129">
        <f t="shared" si="4"/>
        <v>27.828263509411045</v>
      </c>
      <c r="Y129">
        <f t="shared" si="5"/>
        <v>-14.369672131147546</v>
      </c>
    </row>
    <row r="130" spans="1:25">
      <c r="A130" s="3">
        <v>45027</v>
      </c>
      <c r="B130" s="1">
        <v>2531.5409999999988</v>
      </c>
      <c r="C130" s="1">
        <v>3200</v>
      </c>
      <c r="D130" s="1">
        <v>668.4590000000012</v>
      </c>
      <c r="E130" s="1">
        <v>871.35</v>
      </c>
      <c r="F130" s="1">
        <v>1250</v>
      </c>
      <c r="G130" s="1">
        <v>378.65</v>
      </c>
      <c r="H130" s="1">
        <v>0</v>
      </c>
      <c r="I130" s="1">
        <v>0</v>
      </c>
      <c r="J130" s="1">
        <v>0</v>
      </c>
      <c r="K130" s="1">
        <v>1199.1666666666663</v>
      </c>
      <c r="L130" s="1">
        <v>1530</v>
      </c>
      <c r="M130" s="1">
        <v>330.83333333333348</v>
      </c>
      <c r="N130" s="1">
        <v>2316.6666666666665</v>
      </c>
      <c r="O130" s="1">
        <v>5980</v>
      </c>
      <c r="P130" s="1">
        <v>1377.9423333333348</v>
      </c>
      <c r="Q130" s="1">
        <v>-938.72433333333163</v>
      </c>
      <c r="R130">
        <f>YEAR(tbl_daily[[#This Row],[Date]])</f>
        <v>2023</v>
      </c>
      <c r="S130" t="str">
        <f>TEXT(tbl_daily[[#This Row],[Date]],"mmmm")</f>
        <v>April</v>
      </c>
      <c r="T130">
        <f>MONTH(tbl_daily[[#This Row],[Date]])</f>
        <v>4</v>
      </c>
      <c r="U130" t="str">
        <f>"Q"&amp;ROUNDUP(MONTH(tbl_daily[[#This Row],[Date]])/3,0)</f>
        <v>Q2</v>
      </c>
      <c r="V130" t="str">
        <f>TEXT(tbl_daily[[#This Row],[Date]],"dddd")</f>
        <v>Tuesday</v>
      </c>
      <c r="W130" t="str">
        <f t="shared" ref="W130:W193" si="6">IF(Q130&gt;0,"Profitable",IF(Q130&lt;0,"Loss","Break-even"))</f>
        <v>Loss</v>
      </c>
      <c r="X130">
        <f t="shared" ref="X130:X193" si="7">IFERROR(P130/O130 *100,0)</f>
        <v>23.042513935340047</v>
      </c>
      <c r="Y130">
        <f t="shared" ref="Y130:Y193" si="8">IFERROR(Q130/O130 *100,0)</f>
        <v>-15.697731326644341</v>
      </c>
    </row>
    <row r="131" spans="1:25">
      <c r="A131" s="3">
        <v>45028</v>
      </c>
      <c r="B131" s="1">
        <v>4100.9240000000009</v>
      </c>
      <c r="C131" s="1">
        <v>1330</v>
      </c>
      <c r="D131" s="1">
        <v>-2770.9240000000009</v>
      </c>
      <c r="E131" s="1">
        <v>256.90000000000003</v>
      </c>
      <c r="F131" s="1">
        <v>500</v>
      </c>
      <c r="G131" s="1">
        <v>243.09999999999997</v>
      </c>
      <c r="H131" s="1">
        <v>0</v>
      </c>
      <c r="I131" s="1">
        <v>0</v>
      </c>
      <c r="J131" s="1">
        <v>0</v>
      </c>
      <c r="K131" s="1">
        <v>980.83333333333348</v>
      </c>
      <c r="L131" s="1">
        <v>1270</v>
      </c>
      <c r="M131" s="1">
        <v>289.16666666666663</v>
      </c>
      <c r="N131" s="1">
        <v>2316.6666666666665</v>
      </c>
      <c r="O131" s="1">
        <v>3100</v>
      </c>
      <c r="P131" s="1">
        <v>-2238.6573333333345</v>
      </c>
      <c r="Q131" s="1">
        <v>-4555.3240000000005</v>
      </c>
      <c r="R131">
        <f>YEAR(tbl_daily[[#This Row],[Date]])</f>
        <v>2023</v>
      </c>
      <c r="S131" t="str">
        <f>TEXT(tbl_daily[[#This Row],[Date]],"mmmm")</f>
        <v>April</v>
      </c>
      <c r="T131">
        <f>MONTH(tbl_daily[[#This Row],[Date]])</f>
        <v>4</v>
      </c>
      <c r="U131" t="str">
        <f>"Q"&amp;ROUNDUP(MONTH(tbl_daily[[#This Row],[Date]])/3,0)</f>
        <v>Q2</v>
      </c>
      <c r="V131" t="str">
        <f>TEXT(tbl_daily[[#This Row],[Date]],"dddd")</f>
        <v>Wednesday</v>
      </c>
      <c r="W131" t="str">
        <f t="shared" si="6"/>
        <v>Loss</v>
      </c>
      <c r="X131">
        <f t="shared" si="7"/>
        <v>-72.214752688172084</v>
      </c>
      <c r="Y131">
        <f t="shared" si="8"/>
        <v>-146.94593548387098</v>
      </c>
    </row>
    <row r="132" spans="1:25">
      <c r="A132" s="3">
        <v>45029</v>
      </c>
      <c r="B132" s="1">
        <v>1104.2300000000007</v>
      </c>
      <c r="C132" s="1">
        <v>3000</v>
      </c>
      <c r="D132" s="1">
        <v>1895.7699999999993</v>
      </c>
      <c r="E132" s="1">
        <v>357.25000000000017</v>
      </c>
      <c r="F132" s="1">
        <v>500</v>
      </c>
      <c r="G132" s="1">
        <v>142.74999999999983</v>
      </c>
      <c r="H132" s="1">
        <v>30</v>
      </c>
      <c r="I132" s="1">
        <v>300</v>
      </c>
      <c r="J132" s="1">
        <v>270</v>
      </c>
      <c r="K132" s="1">
        <v>1351.6666666666663</v>
      </c>
      <c r="L132" s="1">
        <v>1760</v>
      </c>
      <c r="M132" s="1">
        <v>408.33333333333343</v>
      </c>
      <c r="N132" s="1">
        <v>2316.6666666666665</v>
      </c>
      <c r="O132" s="1">
        <v>5560</v>
      </c>
      <c r="P132" s="1">
        <v>2716.8533333333321</v>
      </c>
      <c r="Q132" s="1">
        <v>400.18666666666559</v>
      </c>
      <c r="R132">
        <f>YEAR(tbl_daily[[#This Row],[Date]])</f>
        <v>2023</v>
      </c>
      <c r="S132" t="str">
        <f>TEXT(tbl_daily[[#This Row],[Date]],"mmmm")</f>
        <v>April</v>
      </c>
      <c r="T132">
        <f>MONTH(tbl_daily[[#This Row],[Date]])</f>
        <v>4</v>
      </c>
      <c r="U132" t="str">
        <f>"Q"&amp;ROUNDUP(MONTH(tbl_daily[[#This Row],[Date]])/3,0)</f>
        <v>Q2</v>
      </c>
      <c r="V132" t="str">
        <f>TEXT(tbl_daily[[#This Row],[Date]],"dddd")</f>
        <v>Thursday</v>
      </c>
      <c r="W132" t="str">
        <f t="shared" si="6"/>
        <v>Profitable</v>
      </c>
      <c r="X132">
        <f t="shared" si="7"/>
        <v>48.864268585131867</v>
      </c>
      <c r="Y132">
        <f t="shared" si="8"/>
        <v>7.1976019184652085</v>
      </c>
    </row>
    <row r="133" spans="1:25">
      <c r="A133" s="3">
        <v>45030</v>
      </c>
      <c r="B133" s="1">
        <v>2072.0550000000003</v>
      </c>
      <c r="C133" s="1">
        <v>3180</v>
      </c>
      <c r="D133" s="1">
        <v>1107.9449999999997</v>
      </c>
      <c r="E133" s="1">
        <v>371.54999999999984</v>
      </c>
      <c r="F133" s="1">
        <v>750</v>
      </c>
      <c r="G133" s="1">
        <v>378.45000000000016</v>
      </c>
      <c r="H133" s="1">
        <v>0</v>
      </c>
      <c r="I133" s="1">
        <v>0</v>
      </c>
      <c r="J133" s="1">
        <v>0</v>
      </c>
      <c r="K133" s="1">
        <v>1091.6666666666663</v>
      </c>
      <c r="L133" s="1">
        <v>1370</v>
      </c>
      <c r="M133" s="1">
        <v>278.33333333333348</v>
      </c>
      <c r="N133" s="1">
        <v>2316.6666666666665</v>
      </c>
      <c r="O133" s="1">
        <v>5300</v>
      </c>
      <c r="P133" s="1">
        <v>1764.7283333333337</v>
      </c>
      <c r="Q133" s="1">
        <v>-551.93833333333305</v>
      </c>
      <c r="R133">
        <f>YEAR(tbl_daily[[#This Row],[Date]])</f>
        <v>2023</v>
      </c>
      <c r="S133" t="str">
        <f>TEXT(tbl_daily[[#This Row],[Date]],"mmmm")</f>
        <v>April</v>
      </c>
      <c r="T133">
        <f>MONTH(tbl_daily[[#This Row],[Date]])</f>
        <v>4</v>
      </c>
      <c r="U133" t="str">
        <f>"Q"&amp;ROUNDUP(MONTH(tbl_daily[[#This Row],[Date]])/3,0)</f>
        <v>Q2</v>
      </c>
      <c r="V133" t="str">
        <f>TEXT(tbl_daily[[#This Row],[Date]],"dddd")</f>
        <v>Friday</v>
      </c>
      <c r="W133" t="str">
        <f t="shared" si="6"/>
        <v>Loss</v>
      </c>
      <c r="X133">
        <f t="shared" si="7"/>
        <v>33.296761006289316</v>
      </c>
      <c r="Y133">
        <f t="shared" si="8"/>
        <v>-10.413930817610058</v>
      </c>
    </row>
    <row r="134" spans="1:25">
      <c r="A134" s="3">
        <v>45031</v>
      </c>
      <c r="B134" s="1">
        <v>2418.625</v>
      </c>
      <c r="C134" s="1">
        <v>2170</v>
      </c>
      <c r="D134" s="1">
        <v>-248.625</v>
      </c>
      <c r="E134" s="1">
        <v>0</v>
      </c>
      <c r="F134" s="1">
        <v>0</v>
      </c>
      <c r="G134" s="1">
        <v>0</v>
      </c>
      <c r="H134" s="1">
        <v>0</v>
      </c>
      <c r="I134" s="1">
        <v>0</v>
      </c>
      <c r="J134" s="1">
        <v>0</v>
      </c>
      <c r="K134" s="1">
        <v>215.83333333333331</v>
      </c>
      <c r="L134" s="1">
        <v>210</v>
      </c>
      <c r="M134" s="1">
        <v>-5.8333333333333144</v>
      </c>
      <c r="N134" s="1">
        <v>2316.6666666666665</v>
      </c>
      <c r="O134" s="1">
        <v>2380</v>
      </c>
      <c r="P134" s="1">
        <v>-254.45833333333331</v>
      </c>
      <c r="Q134" s="1">
        <v>-2571.125</v>
      </c>
      <c r="R134">
        <f>YEAR(tbl_daily[[#This Row],[Date]])</f>
        <v>2023</v>
      </c>
      <c r="S134" t="str">
        <f>TEXT(tbl_daily[[#This Row],[Date]],"mmmm")</f>
        <v>April</v>
      </c>
      <c r="T134">
        <f>MONTH(tbl_daily[[#This Row],[Date]])</f>
        <v>4</v>
      </c>
      <c r="U134" t="str">
        <f>"Q"&amp;ROUNDUP(MONTH(tbl_daily[[#This Row],[Date]])/3,0)</f>
        <v>Q2</v>
      </c>
      <c r="V134" t="str">
        <f>TEXT(tbl_daily[[#This Row],[Date]],"dddd")</f>
        <v>Saturday</v>
      </c>
      <c r="W134" t="str">
        <f t="shared" si="6"/>
        <v>Loss</v>
      </c>
      <c r="X134">
        <f t="shared" si="7"/>
        <v>-10.691526610644257</v>
      </c>
      <c r="Y134">
        <f t="shared" si="8"/>
        <v>-108.03046218487395</v>
      </c>
    </row>
    <row r="135" spans="1:25">
      <c r="A135" s="3">
        <v>45032</v>
      </c>
      <c r="B135" s="1">
        <v>1642.3549999999996</v>
      </c>
      <c r="C135" s="1">
        <v>4220</v>
      </c>
      <c r="D135" s="1">
        <v>2577.6450000000004</v>
      </c>
      <c r="E135" s="1">
        <v>575.90000000000009</v>
      </c>
      <c r="F135" s="1">
        <v>1000</v>
      </c>
      <c r="G135" s="1">
        <v>424.09999999999991</v>
      </c>
      <c r="H135" s="1">
        <v>30</v>
      </c>
      <c r="I135" s="1">
        <v>300</v>
      </c>
      <c r="J135" s="1">
        <v>270</v>
      </c>
      <c r="K135" s="1">
        <v>1509.1666666666663</v>
      </c>
      <c r="L135" s="1">
        <v>1880</v>
      </c>
      <c r="M135" s="1">
        <v>370.83333333333343</v>
      </c>
      <c r="N135" s="1">
        <v>2316.6666666666665</v>
      </c>
      <c r="O135" s="1">
        <v>7400</v>
      </c>
      <c r="P135" s="1">
        <v>3642.5783333333334</v>
      </c>
      <c r="Q135" s="1">
        <v>1325.9116666666671</v>
      </c>
      <c r="R135">
        <f>YEAR(tbl_daily[[#This Row],[Date]])</f>
        <v>2023</v>
      </c>
      <c r="S135" t="str">
        <f>TEXT(tbl_daily[[#This Row],[Date]],"mmmm")</f>
        <v>April</v>
      </c>
      <c r="T135">
        <f>MONTH(tbl_daily[[#This Row],[Date]])</f>
        <v>4</v>
      </c>
      <c r="U135" t="str">
        <f>"Q"&amp;ROUNDUP(MONTH(tbl_daily[[#This Row],[Date]])/3,0)</f>
        <v>Q2</v>
      </c>
      <c r="V135" t="str">
        <f>TEXT(tbl_daily[[#This Row],[Date]],"dddd")</f>
        <v>Sunday</v>
      </c>
      <c r="W135" t="str">
        <f t="shared" si="6"/>
        <v>Profitable</v>
      </c>
      <c r="X135">
        <f t="shared" si="7"/>
        <v>49.22403153153153</v>
      </c>
      <c r="Y135">
        <f t="shared" si="8"/>
        <v>17.917725225225229</v>
      </c>
    </row>
    <row r="136" spans="1:25">
      <c r="A136" s="3">
        <v>45033</v>
      </c>
      <c r="B136" s="1">
        <v>2363.06</v>
      </c>
      <c r="C136" s="1">
        <v>2890</v>
      </c>
      <c r="D136" s="1">
        <v>526.94000000000005</v>
      </c>
      <c r="E136" s="1">
        <v>1779.9500000000005</v>
      </c>
      <c r="F136" s="1">
        <v>3180</v>
      </c>
      <c r="G136" s="1">
        <v>1400.0499999999995</v>
      </c>
      <c r="H136" s="1">
        <v>30</v>
      </c>
      <c r="I136" s="1">
        <v>300</v>
      </c>
      <c r="J136" s="1">
        <v>270</v>
      </c>
      <c r="K136" s="1">
        <v>1039.1666666666663</v>
      </c>
      <c r="L136" s="1">
        <v>1340</v>
      </c>
      <c r="M136" s="1">
        <v>300.83333333333348</v>
      </c>
      <c r="N136" s="1">
        <v>2316.6666666666665</v>
      </c>
      <c r="O136" s="1">
        <v>7710</v>
      </c>
      <c r="P136" s="1">
        <v>2497.8233333333333</v>
      </c>
      <c r="Q136" s="1">
        <v>181.15666666666675</v>
      </c>
      <c r="R136">
        <f>YEAR(tbl_daily[[#This Row],[Date]])</f>
        <v>2023</v>
      </c>
      <c r="S136" t="str">
        <f>TEXT(tbl_daily[[#This Row],[Date]],"mmmm")</f>
        <v>April</v>
      </c>
      <c r="T136">
        <f>MONTH(tbl_daily[[#This Row],[Date]])</f>
        <v>4</v>
      </c>
      <c r="U136" t="str">
        <f>"Q"&amp;ROUNDUP(MONTH(tbl_daily[[#This Row],[Date]])/3,0)</f>
        <v>Q2</v>
      </c>
      <c r="V136" t="str">
        <f>TEXT(tbl_daily[[#This Row],[Date]],"dddd")</f>
        <v>Monday</v>
      </c>
      <c r="W136" t="str">
        <f t="shared" si="6"/>
        <v>Profitable</v>
      </c>
      <c r="X136">
        <f t="shared" si="7"/>
        <v>32.397189796800689</v>
      </c>
      <c r="Y136">
        <f t="shared" si="8"/>
        <v>2.3496325118893222</v>
      </c>
    </row>
    <row r="137" spans="1:25">
      <c r="A137" s="3">
        <v>45034</v>
      </c>
      <c r="B137" s="1">
        <v>3370.0499999999997</v>
      </c>
      <c r="C137" s="1">
        <v>3540</v>
      </c>
      <c r="D137" s="1">
        <v>169.95000000000027</v>
      </c>
      <c r="E137" s="1">
        <v>1681.0000000000005</v>
      </c>
      <c r="F137" s="1">
        <v>3360</v>
      </c>
      <c r="G137" s="1">
        <v>1678.9999999999995</v>
      </c>
      <c r="H137" s="1">
        <v>0</v>
      </c>
      <c r="I137" s="1">
        <v>0</v>
      </c>
      <c r="J137" s="1">
        <v>0</v>
      </c>
      <c r="K137" s="1">
        <v>1320</v>
      </c>
      <c r="L137" s="1">
        <v>1560</v>
      </c>
      <c r="M137" s="1">
        <v>240</v>
      </c>
      <c r="N137" s="1">
        <v>2316.6666666666665</v>
      </c>
      <c r="O137" s="1">
        <v>8460</v>
      </c>
      <c r="P137" s="1">
        <v>2088.9499999999998</v>
      </c>
      <c r="Q137" s="1">
        <v>-227.7166666666667</v>
      </c>
      <c r="R137">
        <f>YEAR(tbl_daily[[#This Row],[Date]])</f>
        <v>2023</v>
      </c>
      <c r="S137" t="str">
        <f>TEXT(tbl_daily[[#This Row],[Date]],"mmmm")</f>
        <v>April</v>
      </c>
      <c r="T137">
        <f>MONTH(tbl_daily[[#This Row],[Date]])</f>
        <v>4</v>
      </c>
      <c r="U137" t="str">
        <f>"Q"&amp;ROUNDUP(MONTH(tbl_daily[[#This Row],[Date]])/3,0)</f>
        <v>Q2</v>
      </c>
      <c r="V137" t="str">
        <f>TEXT(tbl_daily[[#This Row],[Date]],"dddd")</f>
        <v>Tuesday</v>
      </c>
      <c r="W137" t="str">
        <f t="shared" si="6"/>
        <v>Loss</v>
      </c>
      <c r="X137">
        <f t="shared" si="7"/>
        <v>24.692080378250587</v>
      </c>
      <c r="Y137">
        <f t="shared" si="8"/>
        <v>-2.6916863672182827</v>
      </c>
    </row>
    <row r="138" spans="1:25">
      <c r="A138" s="3">
        <v>45035</v>
      </c>
      <c r="B138" s="1">
        <v>3395.775000000001</v>
      </c>
      <c r="C138" s="1">
        <v>3630</v>
      </c>
      <c r="D138" s="1">
        <v>234.224999999999</v>
      </c>
      <c r="E138" s="1">
        <v>665.69999999999993</v>
      </c>
      <c r="F138" s="1">
        <v>750</v>
      </c>
      <c r="G138" s="1">
        <v>84.300000000000068</v>
      </c>
      <c r="H138" s="1">
        <v>68</v>
      </c>
      <c r="I138" s="1">
        <v>350</v>
      </c>
      <c r="J138" s="1">
        <v>282</v>
      </c>
      <c r="K138" s="1">
        <v>907.5</v>
      </c>
      <c r="L138" s="1">
        <v>960</v>
      </c>
      <c r="M138" s="1">
        <v>52.5</v>
      </c>
      <c r="N138" s="1">
        <v>2316.6666666666665</v>
      </c>
      <c r="O138" s="1">
        <v>5690</v>
      </c>
      <c r="P138" s="1">
        <v>653.02499999999907</v>
      </c>
      <c r="Q138" s="1">
        <v>-1663.6416666666671</v>
      </c>
      <c r="R138">
        <f>YEAR(tbl_daily[[#This Row],[Date]])</f>
        <v>2023</v>
      </c>
      <c r="S138" t="str">
        <f>TEXT(tbl_daily[[#This Row],[Date]],"mmmm")</f>
        <v>April</v>
      </c>
      <c r="T138">
        <f>MONTH(tbl_daily[[#This Row],[Date]])</f>
        <v>4</v>
      </c>
      <c r="U138" t="str">
        <f>"Q"&amp;ROUNDUP(MONTH(tbl_daily[[#This Row],[Date]])/3,0)</f>
        <v>Q2</v>
      </c>
      <c r="V138" t="str">
        <f>TEXT(tbl_daily[[#This Row],[Date]],"dddd")</f>
        <v>Wednesday</v>
      </c>
      <c r="W138" t="str">
        <f t="shared" si="6"/>
        <v>Loss</v>
      </c>
      <c r="X138">
        <f t="shared" si="7"/>
        <v>11.476713532513164</v>
      </c>
      <c r="Y138">
        <f t="shared" si="8"/>
        <v>-29.237990626830708</v>
      </c>
    </row>
    <row r="139" spans="1:25">
      <c r="A139" s="3">
        <v>45036</v>
      </c>
      <c r="B139" s="1">
        <v>2080.0599999999995</v>
      </c>
      <c r="C139" s="1">
        <v>3010</v>
      </c>
      <c r="D139" s="1">
        <v>929.94000000000051</v>
      </c>
      <c r="E139" s="1">
        <v>326.74999999999994</v>
      </c>
      <c r="F139" s="1">
        <v>500</v>
      </c>
      <c r="G139" s="1">
        <v>173.25000000000006</v>
      </c>
      <c r="H139" s="1">
        <v>0</v>
      </c>
      <c r="I139" s="1">
        <v>0</v>
      </c>
      <c r="J139" s="1">
        <v>0</v>
      </c>
      <c r="K139" s="1">
        <v>1153.3333333333333</v>
      </c>
      <c r="L139" s="1">
        <v>1360</v>
      </c>
      <c r="M139" s="1">
        <v>206.66666666666671</v>
      </c>
      <c r="N139" s="1">
        <v>2316.6666666666665</v>
      </c>
      <c r="O139" s="1">
        <v>4870</v>
      </c>
      <c r="P139" s="1">
        <v>1309.8566666666673</v>
      </c>
      <c r="Q139" s="1">
        <v>-1006.8099999999991</v>
      </c>
      <c r="R139">
        <f>YEAR(tbl_daily[[#This Row],[Date]])</f>
        <v>2023</v>
      </c>
      <c r="S139" t="str">
        <f>TEXT(tbl_daily[[#This Row],[Date]],"mmmm")</f>
        <v>April</v>
      </c>
      <c r="T139">
        <f>MONTH(tbl_daily[[#This Row],[Date]])</f>
        <v>4</v>
      </c>
      <c r="U139" t="str">
        <f>"Q"&amp;ROUNDUP(MONTH(tbl_daily[[#This Row],[Date]])/3,0)</f>
        <v>Q2</v>
      </c>
      <c r="V139" t="str">
        <f>TEXT(tbl_daily[[#This Row],[Date]],"dddd")</f>
        <v>Thursday</v>
      </c>
      <c r="W139" t="str">
        <f t="shared" si="6"/>
        <v>Loss</v>
      </c>
      <c r="X139">
        <f t="shared" si="7"/>
        <v>26.89644079397674</v>
      </c>
      <c r="Y139">
        <f t="shared" si="8"/>
        <v>-20.673716632443515</v>
      </c>
    </row>
    <row r="140" spans="1:25">
      <c r="A140" s="3">
        <v>45037</v>
      </c>
      <c r="B140" s="1">
        <v>4206.2</v>
      </c>
      <c r="C140" s="1">
        <v>7650</v>
      </c>
      <c r="D140" s="1">
        <v>3443.8</v>
      </c>
      <c r="E140" s="1">
        <v>2220.6999999999998</v>
      </c>
      <c r="F140" s="1">
        <v>4250</v>
      </c>
      <c r="G140" s="1">
        <v>2029.3</v>
      </c>
      <c r="H140" s="1">
        <v>245.8</v>
      </c>
      <c r="I140" s="1">
        <v>1450</v>
      </c>
      <c r="J140" s="1">
        <v>1204.2</v>
      </c>
      <c r="K140" s="1">
        <v>2038.3333333333337</v>
      </c>
      <c r="L140" s="1">
        <v>2440</v>
      </c>
      <c r="M140" s="1">
        <v>401.66666666666657</v>
      </c>
      <c r="N140" s="1">
        <v>2316.6666666666665</v>
      </c>
      <c r="O140" s="1">
        <v>15790</v>
      </c>
      <c r="P140" s="1">
        <v>7078.9666666666672</v>
      </c>
      <c r="Q140" s="1">
        <v>4762.3000000000011</v>
      </c>
      <c r="R140">
        <f>YEAR(tbl_daily[[#This Row],[Date]])</f>
        <v>2023</v>
      </c>
      <c r="S140" t="str">
        <f>TEXT(tbl_daily[[#This Row],[Date]],"mmmm")</f>
        <v>April</v>
      </c>
      <c r="T140">
        <f>MONTH(tbl_daily[[#This Row],[Date]])</f>
        <v>4</v>
      </c>
      <c r="U140" t="str">
        <f>"Q"&amp;ROUNDUP(MONTH(tbl_daily[[#This Row],[Date]])/3,0)</f>
        <v>Q2</v>
      </c>
      <c r="V140" t="str">
        <f>TEXT(tbl_daily[[#This Row],[Date]],"dddd")</f>
        <v>Friday</v>
      </c>
      <c r="W140" t="str">
        <f t="shared" si="6"/>
        <v>Profitable</v>
      </c>
      <c r="X140">
        <f t="shared" si="7"/>
        <v>44.831961156850333</v>
      </c>
      <c r="Y140">
        <f t="shared" si="8"/>
        <v>30.160227992400262</v>
      </c>
    </row>
    <row r="141" spans="1:25">
      <c r="A141" s="3">
        <v>45038</v>
      </c>
      <c r="B141" s="1">
        <v>7570.9350000000004</v>
      </c>
      <c r="C141" s="1">
        <v>11220</v>
      </c>
      <c r="D141" s="1">
        <v>3649.065000000001</v>
      </c>
      <c r="E141" s="1">
        <v>3804.3</v>
      </c>
      <c r="F141" s="1">
        <v>7250</v>
      </c>
      <c r="G141" s="1">
        <v>3445.7</v>
      </c>
      <c r="H141" s="1">
        <v>381.8</v>
      </c>
      <c r="I141" s="1">
        <v>1650</v>
      </c>
      <c r="J141" s="1">
        <v>1268.2</v>
      </c>
      <c r="K141" s="1">
        <v>3431.6666666666665</v>
      </c>
      <c r="L141" s="1">
        <v>4290</v>
      </c>
      <c r="M141" s="1">
        <v>858.33333333333348</v>
      </c>
      <c r="N141" s="1">
        <v>2316.6666666666665</v>
      </c>
      <c r="O141" s="1">
        <v>24410</v>
      </c>
      <c r="P141" s="1">
        <v>9221.2983333333341</v>
      </c>
      <c r="Q141" s="1">
        <v>6904.631666666668</v>
      </c>
      <c r="R141">
        <f>YEAR(tbl_daily[[#This Row],[Date]])</f>
        <v>2023</v>
      </c>
      <c r="S141" t="str">
        <f>TEXT(tbl_daily[[#This Row],[Date]],"mmmm")</f>
        <v>April</v>
      </c>
      <c r="T141">
        <f>MONTH(tbl_daily[[#This Row],[Date]])</f>
        <v>4</v>
      </c>
      <c r="U141" t="str">
        <f>"Q"&amp;ROUNDUP(MONTH(tbl_daily[[#This Row],[Date]])/3,0)</f>
        <v>Q2</v>
      </c>
      <c r="V141" t="str">
        <f>TEXT(tbl_daily[[#This Row],[Date]],"dddd")</f>
        <v>Saturday</v>
      </c>
      <c r="W141" t="str">
        <f t="shared" si="6"/>
        <v>Profitable</v>
      </c>
      <c r="X141">
        <f t="shared" si="7"/>
        <v>37.776724020210303</v>
      </c>
      <c r="Y141">
        <f t="shared" si="8"/>
        <v>28.286078110064189</v>
      </c>
    </row>
    <row r="142" spans="1:25">
      <c r="A142" s="3">
        <v>45039</v>
      </c>
      <c r="B142" s="1">
        <v>6730.0849999999991</v>
      </c>
      <c r="C142" s="1">
        <v>10750</v>
      </c>
      <c r="D142" s="1">
        <v>4019.9150000000009</v>
      </c>
      <c r="E142" s="1">
        <v>2619.8000000000002</v>
      </c>
      <c r="F142" s="1">
        <v>3750</v>
      </c>
      <c r="G142" s="1">
        <v>1130.1999999999998</v>
      </c>
      <c r="H142" s="1">
        <v>316.43</v>
      </c>
      <c r="I142" s="1">
        <v>2350</v>
      </c>
      <c r="J142" s="1">
        <v>2033.57</v>
      </c>
      <c r="K142" s="1">
        <v>2751.6666666666665</v>
      </c>
      <c r="L142" s="1">
        <v>3360</v>
      </c>
      <c r="M142" s="1">
        <v>608.33333333333348</v>
      </c>
      <c r="N142" s="1">
        <v>2316.6666666666665</v>
      </c>
      <c r="O142" s="1">
        <v>20210</v>
      </c>
      <c r="P142" s="1">
        <v>7792.0183333333325</v>
      </c>
      <c r="Q142" s="1">
        <v>5475.3516666666674</v>
      </c>
      <c r="R142">
        <f>YEAR(tbl_daily[[#This Row],[Date]])</f>
        <v>2023</v>
      </c>
      <c r="S142" t="str">
        <f>TEXT(tbl_daily[[#This Row],[Date]],"mmmm")</f>
        <v>April</v>
      </c>
      <c r="T142">
        <f>MONTH(tbl_daily[[#This Row],[Date]])</f>
        <v>4</v>
      </c>
      <c r="U142" t="str">
        <f>"Q"&amp;ROUNDUP(MONTH(tbl_daily[[#This Row],[Date]])/3,0)</f>
        <v>Q2</v>
      </c>
      <c r="V142" t="str">
        <f>TEXT(tbl_daily[[#This Row],[Date]],"dddd")</f>
        <v>Sunday</v>
      </c>
      <c r="W142" t="str">
        <f t="shared" si="6"/>
        <v>Profitable</v>
      </c>
      <c r="X142">
        <f t="shared" si="7"/>
        <v>38.555261421738408</v>
      </c>
      <c r="Y142">
        <f t="shared" si="8"/>
        <v>27.09228929572819</v>
      </c>
    </row>
    <row r="143" spans="1:25">
      <c r="A143" s="3">
        <v>45040</v>
      </c>
      <c r="B143" s="1">
        <v>6391.3700000000008</v>
      </c>
      <c r="C143" s="1">
        <v>8400</v>
      </c>
      <c r="D143" s="1">
        <v>2008.6299999999992</v>
      </c>
      <c r="E143" s="1">
        <v>4424.4000000000005</v>
      </c>
      <c r="F143" s="1">
        <v>9300</v>
      </c>
      <c r="G143" s="1">
        <v>4875.5999999999995</v>
      </c>
      <c r="H143" s="1">
        <v>253.83</v>
      </c>
      <c r="I143" s="1">
        <v>1250</v>
      </c>
      <c r="J143" s="1">
        <v>996.17</v>
      </c>
      <c r="K143" s="1">
        <v>2022.5</v>
      </c>
      <c r="L143" s="1">
        <v>2720</v>
      </c>
      <c r="M143" s="1">
        <v>697.5</v>
      </c>
      <c r="N143" s="1">
        <v>2316.6666666666665</v>
      </c>
      <c r="O143" s="1">
        <v>21670</v>
      </c>
      <c r="P143" s="1">
        <v>8577.8999999999978</v>
      </c>
      <c r="Q143" s="1">
        <v>6261.2333333333318</v>
      </c>
      <c r="R143">
        <f>YEAR(tbl_daily[[#This Row],[Date]])</f>
        <v>2023</v>
      </c>
      <c r="S143" t="str">
        <f>TEXT(tbl_daily[[#This Row],[Date]],"mmmm")</f>
        <v>April</v>
      </c>
      <c r="T143">
        <f>MONTH(tbl_daily[[#This Row],[Date]])</f>
        <v>4</v>
      </c>
      <c r="U143" t="str">
        <f>"Q"&amp;ROUNDUP(MONTH(tbl_daily[[#This Row],[Date]])/3,0)</f>
        <v>Q2</v>
      </c>
      <c r="V143" t="str">
        <f>TEXT(tbl_daily[[#This Row],[Date]],"dddd")</f>
        <v>Monday</v>
      </c>
      <c r="W143" t="str">
        <f t="shared" si="6"/>
        <v>Profitable</v>
      </c>
      <c r="X143">
        <f t="shared" si="7"/>
        <v>39.584217812644198</v>
      </c>
      <c r="Y143">
        <f t="shared" si="8"/>
        <v>28.893554837717268</v>
      </c>
    </row>
    <row r="144" spans="1:25">
      <c r="A144" s="3">
        <v>45041</v>
      </c>
      <c r="B144" s="1">
        <v>6056.6450000000004</v>
      </c>
      <c r="C144" s="1">
        <v>8090</v>
      </c>
      <c r="D144" s="1">
        <v>2033.3549999999996</v>
      </c>
      <c r="E144" s="1">
        <v>2381.3499999999995</v>
      </c>
      <c r="F144" s="1">
        <v>3500</v>
      </c>
      <c r="G144" s="1">
        <v>1118.6500000000003</v>
      </c>
      <c r="H144" s="1">
        <v>263</v>
      </c>
      <c r="I144" s="1">
        <v>1470</v>
      </c>
      <c r="J144" s="1">
        <v>1207</v>
      </c>
      <c r="K144" s="1">
        <v>1476.6666666666663</v>
      </c>
      <c r="L144" s="1">
        <v>1680</v>
      </c>
      <c r="M144" s="1">
        <v>203.33333333333348</v>
      </c>
      <c r="N144" s="1">
        <v>2316.6666666666665</v>
      </c>
      <c r="O144" s="1">
        <v>14740</v>
      </c>
      <c r="P144" s="1">
        <v>4562.3383333333331</v>
      </c>
      <c r="Q144" s="1">
        <v>2245.6716666666666</v>
      </c>
      <c r="R144">
        <f>YEAR(tbl_daily[[#This Row],[Date]])</f>
        <v>2023</v>
      </c>
      <c r="S144" t="str">
        <f>TEXT(tbl_daily[[#This Row],[Date]],"mmmm")</f>
        <v>April</v>
      </c>
      <c r="T144">
        <f>MONTH(tbl_daily[[#This Row],[Date]])</f>
        <v>4</v>
      </c>
      <c r="U144" t="str">
        <f>"Q"&amp;ROUNDUP(MONTH(tbl_daily[[#This Row],[Date]])/3,0)</f>
        <v>Q2</v>
      </c>
      <c r="V144" t="str">
        <f>TEXT(tbl_daily[[#This Row],[Date]],"dddd")</f>
        <v>Tuesday</v>
      </c>
      <c r="W144" t="str">
        <f t="shared" si="6"/>
        <v>Profitable</v>
      </c>
      <c r="X144">
        <f t="shared" si="7"/>
        <v>30.952091813658978</v>
      </c>
      <c r="Y144">
        <f t="shared" si="8"/>
        <v>15.235221619176842</v>
      </c>
    </row>
    <row r="145" spans="1:25">
      <c r="A145" s="3">
        <v>45042</v>
      </c>
      <c r="B145" s="1">
        <v>5319.0349999999989</v>
      </c>
      <c r="C145" s="1">
        <v>8570</v>
      </c>
      <c r="D145" s="1">
        <v>3250.9650000000011</v>
      </c>
      <c r="E145" s="1">
        <v>2801.9</v>
      </c>
      <c r="F145" s="1">
        <v>4000</v>
      </c>
      <c r="G145" s="1">
        <v>1198.0999999999999</v>
      </c>
      <c r="H145" s="1">
        <v>499.26</v>
      </c>
      <c r="I145" s="1">
        <v>3500</v>
      </c>
      <c r="J145" s="1">
        <v>3000.74</v>
      </c>
      <c r="K145" s="1">
        <v>825.83333333333348</v>
      </c>
      <c r="L145" s="1">
        <v>1090</v>
      </c>
      <c r="M145" s="1">
        <v>264.16666666666663</v>
      </c>
      <c r="N145" s="1">
        <v>2316.6666666666665</v>
      </c>
      <c r="O145" s="1">
        <v>17160</v>
      </c>
      <c r="P145" s="1">
        <v>7713.9716666666673</v>
      </c>
      <c r="Q145" s="1">
        <v>5397.3050000000003</v>
      </c>
      <c r="R145">
        <f>YEAR(tbl_daily[[#This Row],[Date]])</f>
        <v>2023</v>
      </c>
      <c r="S145" t="str">
        <f>TEXT(tbl_daily[[#This Row],[Date]],"mmmm")</f>
        <v>April</v>
      </c>
      <c r="T145">
        <f>MONTH(tbl_daily[[#This Row],[Date]])</f>
        <v>4</v>
      </c>
      <c r="U145" t="str">
        <f>"Q"&amp;ROUNDUP(MONTH(tbl_daily[[#This Row],[Date]])/3,0)</f>
        <v>Q2</v>
      </c>
      <c r="V145" t="str">
        <f>TEXT(tbl_daily[[#This Row],[Date]],"dddd")</f>
        <v>Wednesday</v>
      </c>
      <c r="W145" t="str">
        <f t="shared" si="6"/>
        <v>Profitable</v>
      </c>
      <c r="X145">
        <f t="shared" si="7"/>
        <v>44.953214840714843</v>
      </c>
      <c r="Y145">
        <f t="shared" si="8"/>
        <v>31.45282634032634</v>
      </c>
    </row>
    <row r="146" spans="1:25">
      <c r="A146" s="3">
        <v>45043</v>
      </c>
      <c r="B146" s="1">
        <v>4960.6600000000008</v>
      </c>
      <c r="C146" s="1">
        <v>8130</v>
      </c>
      <c r="D146" s="1">
        <v>3169.3399999999992</v>
      </c>
      <c r="E146" s="1">
        <v>2548.65</v>
      </c>
      <c r="F146" s="1">
        <v>4750</v>
      </c>
      <c r="G146" s="1">
        <v>2201.35</v>
      </c>
      <c r="H146" s="1">
        <v>537.46</v>
      </c>
      <c r="I146" s="1">
        <v>1670</v>
      </c>
      <c r="J146" s="1">
        <v>1132.54</v>
      </c>
      <c r="K146" s="1">
        <v>1534.9999999999998</v>
      </c>
      <c r="L146" s="1">
        <v>2030</v>
      </c>
      <c r="M146" s="1">
        <v>495.00000000000023</v>
      </c>
      <c r="N146" s="1">
        <v>2316.6666666666665</v>
      </c>
      <c r="O146" s="1">
        <v>16580</v>
      </c>
      <c r="P146" s="1">
        <v>6998.2299999999987</v>
      </c>
      <c r="Q146" s="1">
        <v>4681.5633333333317</v>
      </c>
      <c r="R146">
        <f>YEAR(tbl_daily[[#This Row],[Date]])</f>
        <v>2023</v>
      </c>
      <c r="S146" t="str">
        <f>TEXT(tbl_daily[[#This Row],[Date]],"mmmm")</f>
        <v>April</v>
      </c>
      <c r="T146">
        <f>MONTH(tbl_daily[[#This Row],[Date]])</f>
        <v>4</v>
      </c>
      <c r="U146" t="str">
        <f>"Q"&amp;ROUNDUP(MONTH(tbl_daily[[#This Row],[Date]])/3,0)</f>
        <v>Q2</v>
      </c>
      <c r="V146" t="str">
        <f>TEXT(tbl_daily[[#This Row],[Date]],"dddd")</f>
        <v>Thursday</v>
      </c>
      <c r="W146" t="str">
        <f t="shared" si="6"/>
        <v>Profitable</v>
      </c>
      <c r="X146">
        <f t="shared" si="7"/>
        <v>42.208866103739439</v>
      </c>
      <c r="Y146">
        <f t="shared" si="8"/>
        <v>28.23620828307196</v>
      </c>
    </row>
    <row r="147" spans="1:25">
      <c r="A147" s="3">
        <v>45044</v>
      </c>
      <c r="B147" s="1">
        <v>6370.869999999999</v>
      </c>
      <c r="C147" s="1">
        <v>8310</v>
      </c>
      <c r="D147" s="1">
        <v>1939.130000000001</v>
      </c>
      <c r="E147" s="1">
        <v>2433.0999999999995</v>
      </c>
      <c r="F147" s="1">
        <v>4750</v>
      </c>
      <c r="G147" s="1">
        <v>2316.9000000000005</v>
      </c>
      <c r="H147" s="1">
        <v>303.49</v>
      </c>
      <c r="I147" s="1">
        <v>2200</v>
      </c>
      <c r="J147" s="1">
        <v>1896.51</v>
      </c>
      <c r="K147" s="1">
        <v>1557.5</v>
      </c>
      <c r="L147" s="1">
        <v>1900</v>
      </c>
      <c r="M147" s="1">
        <v>342.5</v>
      </c>
      <c r="N147" s="1">
        <v>2316.6666666666665</v>
      </c>
      <c r="O147" s="1">
        <v>17160</v>
      </c>
      <c r="P147" s="1">
        <v>6495.0400000000018</v>
      </c>
      <c r="Q147" s="1">
        <v>4178.3733333333348</v>
      </c>
      <c r="R147">
        <f>YEAR(tbl_daily[[#This Row],[Date]])</f>
        <v>2023</v>
      </c>
      <c r="S147" t="str">
        <f>TEXT(tbl_daily[[#This Row],[Date]],"mmmm")</f>
        <v>April</v>
      </c>
      <c r="T147">
        <f>MONTH(tbl_daily[[#This Row],[Date]])</f>
        <v>4</v>
      </c>
      <c r="U147" t="str">
        <f>"Q"&amp;ROUNDUP(MONTH(tbl_daily[[#This Row],[Date]])/3,0)</f>
        <v>Q2</v>
      </c>
      <c r="V147" t="str">
        <f>TEXT(tbl_daily[[#This Row],[Date]],"dddd")</f>
        <v>Friday</v>
      </c>
      <c r="W147" t="str">
        <f t="shared" si="6"/>
        <v>Profitable</v>
      </c>
      <c r="X147">
        <f t="shared" si="7"/>
        <v>37.849883449883457</v>
      </c>
      <c r="Y147">
        <f t="shared" si="8"/>
        <v>24.349494949494957</v>
      </c>
    </row>
    <row r="148" spans="1:25">
      <c r="A148" s="3">
        <v>45045</v>
      </c>
      <c r="B148" s="1">
        <v>4012.1349999999993</v>
      </c>
      <c r="C148" s="1">
        <v>7010</v>
      </c>
      <c r="D148" s="1">
        <v>2997.8650000000007</v>
      </c>
      <c r="E148" s="1">
        <v>2370.6000000000004</v>
      </c>
      <c r="F148" s="1">
        <v>4850</v>
      </c>
      <c r="G148" s="1">
        <v>2479.3999999999996</v>
      </c>
      <c r="H148" s="1">
        <v>282</v>
      </c>
      <c r="I148" s="1">
        <v>750</v>
      </c>
      <c r="J148" s="1">
        <v>468</v>
      </c>
      <c r="K148" s="1">
        <v>1895</v>
      </c>
      <c r="L148" s="1">
        <v>2490</v>
      </c>
      <c r="M148" s="1">
        <v>595</v>
      </c>
      <c r="N148" s="1">
        <v>2316.6666666666665</v>
      </c>
      <c r="O148" s="1">
        <v>15100</v>
      </c>
      <c r="P148" s="1">
        <v>6540.2650000000003</v>
      </c>
      <c r="Q148" s="1">
        <v>4223.5983333333334</v>
      </c>
      <c r="R148">
        <f>YEAR(tbl_daily[[#This Row],[Date]])</f>
        <v>2023</v>
      </c>
      <c r="S148" t="str">
        <f>TEXT(tbl_daily[[#This Row],[Date]],"mmmm")</f>
        <v>April</v>
      </c>
      <c r="T148">
        <f>MONTH(tbl_daily[[#This Row],[Date]])</f>
        <v>4</v>
      </c>
      <c r="U148" t="str">
        <f>"Q"&amp;ROUNDUP(MONTH(tbl_daily[[#This Row],[Date]])/3,0)</f>
        <v>Q2</v>
      </c>
      <c r="V148" t="str">
        <f>TEXT(tbl_daily[[#This Row],[Date]],"dddd")</f>
        <v>Saturday</v>
      </c>
      <c r="W148" t="str">
        <f t="shared" si="6"/>
        <v>Profitable</v>
      </c>
      <c r="X148">
        <f t="shared" si="7"/>
        <v>43.313013245033119</v>
      </c>
      <c r="Y148">
        <f t="shared" si="8"/>
        <v>27.97084988962472</v>
      </c>
    </row>
    <row r="149" spans="1:25">
      <c r="A149" s="3">
        <v>45046</v>
      </c>
      <c r="B149" s="1">
        <v>7887.2299999999987</v>
      </c>
      <c r="C149" s="1">
        <v>9470</v>
      </c>
      <c r="D149" s="1">
        <v>1582.7700000000025</v>
      </c>
      <c r="E149" s="1">
        <v>1769.4000000000003</v>
      </c>
      <c r="F149" s="1">
        <v>3100</v>
      </c>
      <c r="G149" s="1">
        <v>1330.5999999999997</v>
      </c>
      <c r="H149" s="1">
        <v>291.83000000000004</v>
      </c>
      <c r="I149" s="1">
        <v>1150</v>
      </c>
      <c r="J149" s="1">
        <v>858.17</v>
      </c>
      <c r="K149" s="1">
        <v>2277.5</v>
      </c>
      <c r="L149" s="1">
        <v>2720</v>
      </c>
      <c r="M149" s="1">
        <v>442.5</v>
      </c>
      <c r="N149" s="1">
        <v>2316.6666666666665</v>
      </c>
      <c r="O149" s="1">
        <v>16440</v>
      </c>
      <c r="P149" s="1">
        <v>4214.0400000000018</v>
      </c>
      <c r="Q149" s="1">
        <v>1897.3733333333353</v>
      </c>
      <c r="R149">
        <f>YEAR(tbl_daily[[#This Row],[Date]])</f>
        <v>2023</v>
      </c>
      <c r="S149" t="str">
        <f>TEXT(tbl_daily[[#This Row],[Date]],"mmmm")</f>
        <v>April</v>
      </c>
      <c r="T149">
        <f>MONTH(tbl_daily[[#This Row],[Date]])</f>
        <v>4</v>
      </c>
      <c r="U149" t="str">
        <f>"Q"&amp;ROUNDUP(MONTH(tbl_daily[[#This Row],[Date]])/3,0)</f>
        <v>Q2</v>
      </c>
      <c r="V149" t="str">
        <f>TEXT(tbl_daily[[#This Row],[Date]],"dddd")</f>
        <v>Sunday</v>
      </c>
      <c r="W149" t="str">
        <f t="shared" si="6"/>
        <v>Profitable</v>
      </c>
      <c r="X149">
        <f t="shared" si="7"/>
        <v>25.632846715328476</v>
      </c>
      <c r="Y149">
        <f t="shared" si="8"/>
        <v>11.541200324412015</v>
      </c>
    </row>
    <row r="150" spans="1:25">
      <c r="A150" s="3">
        <v>45047</v>
      </c>
      <c r="B150" s="1">
        <v>4208.965000000002</v>
      </c>
      <c r="C150" s="1">
        <v>4740</v>
      </c>
      <c r="D150" s="1">
        <v>531.03499999999804</v>
      </c>
      <c r="E150" s="1">
        <v>445.00000000000006</v>
      </c>
      <c r="F150" s="1">
        <v>1000</v>
      </c>
      <c r="G150" s="1">
        <v>555</v>
      </c>
      <c r="H150" s="1">
        <v>167.83</v>
      </c>
      <c r="I150" s="1">
        <v>600</v>
      </c>
      <c r="J150" s="1">
        <v>432.16999999999996</v>
      </c>
      <c r="K150" s="1">
        <v>856.66666666666652</v>
      </c>
      <c r="L150" s="1">
        <v>1090</v>
      </c>
      <c r="M150" s="1">
        <v>233.33333333333337</v>
      </c>
      <c r="N150" s="1">
        <v>2316.6666666666665</v>
      </c>
      <c r="O150" s="1">
        <v>7430</v>
      </c>
      <c r="P150" s="1">
        <v>1751.5383333333316</v>
      </c>
      <c r="Q150" s="1">
        <v>-565.12833333333492</v>
      </c>
      <c r="R150">
        <f>YEAR(tbl_daily[[#This Row],[Date]])</f>
        <v>2023</v>
      </c>
      <c r="S150" t="str">
        <f>TEXT(tbl_daily[[#This Row],[Date]],"mmmm")</f>
        <v>May</v>
      </c>
      <c r="T150">
        <f>MONTH(tbl_daily[[#This Row],[Date]])</f>
        <v>5</v>
      </c>
      <c r="U150" t="str">
        <f>"Q"&amp;ROUNDUP(MONTH(tbl_daily[[#This Row],[Date]])/3,0)</f>
        <v>Q2</v>
      </c>
      <c r="V150" t="str">
        <f>TEXT(tbl_daily[[#This Row],[Date]],"dddd")</f>
        <v>Monday</v>
      </c>
      <c r="W150" t="str">
        <f t="shared" si="6"/>
        <v>Loss</v>
      </c>
      <c r="X150">
        <f t="shared" si="7"/>
        <v>23.573867205024651</v>
      </c>
      <c r="Y150">
        <f t="shared" si="8"/>
        <v>-7.6060340960071997</v>
      </c>
    </row>
    <row r="151" spans="1:25">
      <c r="A151" s="3">
        <v>45048</v>
      </c>
      <c r="B151" s="1">
        <v>5353.585</v>
      </c>
      <c r="C151" s="1">
        <v>8130</v>
      </c>
      <c r="D151" s="1">
        <v>2776.415</v>
      </c>
      <c r="E151" s="1">
        <v>3133</v>
      </c>
      <c r="F151" s="1">
        <v>6500</v>
      </c>
      <c r="G151" s="1">
        <v>3367</v>
      </c>
      <c r="H151" s="1">
        <v>60</v>
      </c>
      <c r="I151" s="1">
        <v>600</v>
      </c>
      <c r="J151" s="1">
        <v>540</v>
      </c>
      <c r="K151" s="1">
        <v>1145.8333333333333</v>
      </c>
      <c r="L151" s="1">
        <v>1470</v>
      </c>
      <c r="M151" s="1">
        <v>324.16666666666674</v>
      </c>
      <c r="N151" s="1">
        <v>2316.6666666666665</v>
      </c>
      <c r="O151" s="1">
        <v>16700</v>
      </c>
      <c r="P151" s="1">
        <v>7007.5816666666669</v>
      </c>
      <c r="Q151" s="1">
        <v>4690.9150000000009</v>
      </c>
      <c r="R151">
        <f>YEAR(tbl_daily[[#This Row],[Date]])</f>
        <v>2023</v>
      </c>
      <c r="S151" t="str">
        <f>TEXT(tbl_daily[[#This Row],[Date]],"mmmm")</f>
        <v>May</v>
      </c>
      <c r="T151">
        <f>MONTH(tbl_daily[[#This Row],[Date]])</f>
        <v>5</v>
      </c>
      <c r="U151" t="str">
        <f>"Q"&amp;ROUNDUP(MONTH(tbl_daily[[#This Row],[Date]])/3,0)</f>
        <v>Q2</v>
      </c>
      <c r="V151" t="str">
        <f>TEXT(tbl_daily[[#This Row],[Date]],"dddd")</f>
        <v>Tuesday</v>
      </c>
      <c r="W151" t="str">
        <f t="shared" si="6"/>
        <v>Profitable</v>
      </c>
      <c r="X151">
        <f t="shared" si="7"/>
        <v>41.961566866267468</v>
      </c>
      <c r="Y151">
        <f t="shared" si="8"/>
        <v>28.089311377245512</v>
      </c>
    </row>
    <row r="152" spans="1:25">
      <c r="A152" s="3">
        <v>45049</v>
      </c>
      <c r="B152" s="1">
        <v>7133.2850000000008</v>
      </c>
      <c r="C152" s="1">
        <v>8910</v>
      </c>
      <c r="D152" s="1">
        <v>1776.7149999999992</v>
      </c>
      <c r="E152" s="1">
        <v>1458.15</v>
      </c>
      <c r="F152" s="1">
        <v>2500</v>
      </c>
      <c r="G152" s="1">
        <v>1041.8499999999999</v>
      </c>
      <c r="H152" s="1">
        <v>282</v>
      </c>
      <c r="I152" s="1">
        <v>850</v>
      </c>
      <c r="J152" s="1">
        <v>568</v>
      </c>
      <c r="K152" s="1">
        <v>897.49999999999989</v>
      </c>
      <c r="L152" s="1">
        <v>1210</v>
      </c>
      <c r="M152" s="1">
        <v>312.50000000000011</v>
      </c>
      <c r="N152" s="1">
        <v>2316.6666666666665</v>
      </c>
      <c r="O152" s="1">
        <v>13470</v>
      </c>
      <c r="P152" s="1">
        <v>3699.0649999999991</v>
      </c>
      <c r="Q152" s="1">
        <v>1382.3983333333326</v>
      </c>
      <c r="R152">
        <f>YEAR(tbl_daily[[#This Row],[Date]])</f>
        <v>2023</v>
      </c>
      <c r="S152" t="str">
        <f>TEXT(tbl_daily[[#This Row],[Date]],"mmmm")</f>
        <v>May</v>
      </c>
      <c r="T152">
        <f>MONTH(tbl_daily[[#This Row],[Date]])</f>
        <v>5</v>
      </c>
      <c r="U152" t="str">
        <f>"Q"&amp;ROUNDUP(MONTH(tbl_daily[[#This Row],[Date]])/3,0)</f>
        <v>Q2</v>
      </c>
      <c r="V152" t="str">
        <f>TEXT(tbl_daily[[#This Row],[Date]],"dddd")</f>
        <v>Wednesday</v>
      </c>
      <c r="W152" t="str">
        <f t="shared" si="6"/>
        <v>Profitable</v>
      </c>
      <c r="X152">
        <f t="shared" si="7"/>
        <v>27.46150705270972</v>
      </c>
      <c r="Y152">
        <f t="shared" si="8"/>
        <v>10.262793862905216</v>
      </c>
    </row>
    <row r="153" spans="1:25">
      <c r="A153" s="3">
        <v>45050</v>
      </c>
      <c r="B153" s="1">
        <v>4517.43</v>
      </c>
      <c r="C153" s="1">
        <v>7690</v>
      </c>
      <c r="D153" s="1">
        <v>3172.5699999999997</v>
      </c>
      <c r="E153" s="1">
        <v>1923.2000000000005</v>
      </c>
      <c r="F153" s="1">
        <v>4000</v>
      </c>
      <c r="G153" s="1">
        <v>2076.7999999999997</v>
      </c>
      <c r="H153" s="1">
        <v>438.31999999999994</v>
      </c>
      <c r="I153" s="1">
        <v>1800</v>
      </c>
      <c r="J153" s="1">
        <v>1361.68</v>
      </c>
      <c r="K153" s="1">
        <v>1105.8333333333333</v>
      </c>
      <c r="L153" s="1">
        <v>1470</v>
      </c>
      <c r="M153" s="1">
        <v>364.16666666666674</v>
      </c>
      <c r="N153" s="1">
        <v>2316.6666666666665</v>
      </c>
      <c r="O153" s="1">
        <v>14960</v>
      </c>
      <c r="P153" s="1">
        <v>6975.2166666666662</v>
      </c>
      <c r="Q153" s="1">
        <v>4658.5499999999993</v>
      </c>
      <c r="R153">
        <f>YEAR(tbl_daily[[#This Row],[Date]])</f>
        <v>2023</v>
      </c>
      <c r="S153" t="str">
        <f>TEXT(tbl_daily[[#This Row],[Date]],"mmmm")</f>
        <v>May</v>
      </c>
      <c r="T153">
        <f>MONTH(tbl_daily[[#This Row],[Date]])</f>
        <v>5</v>
      </c>
      <c r="U153" t="str">
        <f>"Q"&amp;ROUNDUP(MONTH(tbl_daily[[#This Row],[Date]])/3,0)</f>
        <v>Q2</v>
      </c>
      <c r="V153" t="str">
        <f>TEXT(tbl_daily[[#This Row],[Date]],"dddd")</f>
        <v>Thursday</v>
      </c>
      <c r="W153" t="str">
        <f t="shared" si="6"/>
        <v>Profitable</v>
      </c>
      <c r="X153">
        <f t="shared" si="7"/>
        <v>46.625779857397504</v>
      </c>
      <c r="Y153">
        <f t="shared" si="8"/>
        <v>31.140040106951865</v>
      </c>
    </row>
    <row r="154" spans="1:25">
      <c r="A154" s="3">
        <v>45051</v>
      </c>
      <c r="B154" s="1">
        <v>6796.9049999999997</v>
      </c>
      <c r="C154" s="1">
        <v>7930</v>
      </c>
      <c r="D154" s="1">
        <v>1133.0950000000005</v>
      </c>
      <c r="E154" s="1">
        <v>1753.7500000000002</v>
      </c>
      <c r="F154" s="1">
        <v>2750</v>
      </c>
      <c r="G154" s="1">
        <v>996.24999999999989</v>
      </c>
      <c r="H154" s="1">
        <v>255</v>
      </c>
      <c r="I154" s="1">
        <v>2120</v>
      </c>
      <c r="J154" s="1">
        <v>1865</v>
      </c>
      <c r="K154" s="1">
        <v>836.66666666666652</v>
      </c>
      <c r="L154" s="1">
        <v>1050</v>
      </c>
      <c r="M154" s="1">
        <v>213.33333333333337</v>
      </c>
      <c r="N154" s="1">
        <v>2316.6666666666665</v>
      </c>
      <c r="O154" s="1">
        <v>13850</v>
      </c>
      <c r="P154" s="1">
        <v>4207.6783333333333</v>
      </c>
      <c r="Q154" s="1">
        <v>1891.0116666666668</v>
      </c>
      <c r="R154">
        <f>YEAR(tbl_daily[[#This Row],[Date]])</f>
        <v>2023</v>
      </c>
      <c r="S154" t="str">
        <f>TEXT(tbl_daily[[#This Row],[Date]],"mmmm")</f>
        <v>May</v>
      </c>
      <c r="T154">
        <f>MONTH(tbl_daily[[#This Row],[Date]])</f>
        <v>5</v>
      </c>
      <c r="U154" t="str">
        <f>"Q"&amp;ROUNDUP(MONTH(tbl_daily[[#This Row],[Date]])/3,0)</f>
        <v>Q2</v>
      </c>
      <c r="V154" t="str">
        <f>TEXT(tbl_daily[[#This Row],[Date]],"dddd")</f>
        <v>Friday</v>
      </c>
      <c r="W154" t="str">
        <f t="shared" si="6"/>
        <v>Profitable</v>
      </c>
      <c r="X154">
        <f t="shared" si="7"/>
        <v>30.380348977135981</v>
      </c>
      <c r="Y154">
        <f t="shared" si="8"/>
        <v>13.653513838748497</v>
      </c>
    </row>
    <row r="155" spans="1:25">
      <c r="A155" s="3">
        <v>45052</v>
      </c>
      <c r="B155" s="1">
        <v>6868.56</v>
      </c>
      <c r="C155" s="1">
        <v>9720</v>
      </c>
      <c r="D155" s="1">
        <v>2851.4399999999996</v>
      </c>
      <c r="E155" s="1">
        <v>1874.6</v>
      </c>
      <c r="F155" s="1">
        <v>2430</v>
      </c>
      <c r="G155" s="1">
        <v>555.39999999999986</v>
      </c>
      <c r="H155" s="1">
        <v>466</v>
      </c>
      <c r="I155" s="1">
        <v>2950</v>
      </c>
      <c r="J155" s="1">
        <v>2484</v>
      </c>
      <c r="K155" s="1">
        <v>1694.1666666666667</v>
      </c>
      <c r="L155" s="1">
        <v>2310</v>
      </c>
      <c r="M155" s="1">
        <v>615.83333333333326</v>
      </c>
      <c r="N155" s="1">
        <v>2316.6666666666665</v>
      </c>
      <c r="O155" s="1">
        <v>17410</v>
      </c>
      <c r="P155" s="1">
        <v>6506.6733333333323</v>
      </c>
      <c r="Q155" s="1">
        <v>4190.0066666666662</v>
      </c>
      <c r="R155">
        <f>YEAR(tbl_daily[[#This Row],[Date]])</f>
        <v>2023</v>
      </c>
      <c r="S155" t="str">
        <f>TEXT(tbl_daily[[#This Row],[Date]],"mmmm")</f>
        <v>May</v>
      </c>
      <c r="T155">
        <f>MONTH(tbl_daily[[#This Row],[Date]])</f>
        <v>5</v>
      </c>
      <c r="U155" t="str">
        <f>"Q"&amp;ROUNDUP(MONTH(tbl_daily[[#This Row],[Date]])/3,0)</f>
        <v>Q2</v>
      </c>
      <c r="V155" t="str">
        <f>TEXT(tbl_daily[[#This Row],[Date]],"dddd")</f>
        <v>Saturday</v>
      </c>
      <c r="W155" t="str">
        <f t="shared" si="6"/>
        <v>Profitable</v>
      </c>
      <c r="X155">
        <f t="shared" si="7"/>
        <v>37.373195481524021</v>
      </c>
      <c r="Y155">
        <f t="shared" si="8"/>
        <v>24.066666666666663</v>
      </c>
    </row>
    <row r="156" spans="1:25">
      <c r="A156" s="3">
        <v>45053</v>
      </c>
      <c r="B156" s="1">
        <v>5956.4299999999994</v>
      </c>
      <c r="C156" s="1">
        <v>7850</v>
      </c>
      <c r="D156" s="1">
        <v>1893.5700000000008</v>
      </c>
      <c r="E156" s="1">
        <v>1088.5999999999999</v>
      </c>
      <c r="F156" s="1">
        <v>2500</v>
      </c>
      <c r="G156" s="1">
        <v>1411.4</v>
      </c>
      <c r="H156" s="1">
        <v>103.83000000000001</v>
      </c>
      <c r="I156" s="1">
        <v>650</v>
      </c>
      <c r="J156" s="1">
        <v>546.16999999999996</v>
      </c>
      <c r="K156" s="1">
        <v>1410</v>
      </c>
      <c r="L156" s="1">
        <v>1780</v>
      </c>
      <c r="M156" s="1">
        <v>370</v>
      </c>
      <c r="N156" s="1">
        <v>2316.6666666666665</v>
      </c>
      <c r="O156" s="1">
        <v>12780</v>
      </c>
      <c r="P156" s="1">
        <v>4221.1400000000003</v>
      </c>
      <c r="Q156" s="1">
        <v>1904.4733333333336</v>
      </c>
      <c r="R156">
        <f>YEAR(tbl_daily[[#This Row],[Date]])</f>
        <v>2023</v>
      </c>
      <c r="S156" t="str">
        <f>TEXT(tbl_daily[[#This Row],[Date]],"mmmm")</f>
        <v>May</v>
      </c>
      <c r="T156">
        <f>MONTH(tbl_daily[[#This Row],[Date]])</f>
        <v>5</v>
      </c>
      <c r="U156" t="str">
        <f>"Q"&amp;ROUNDUP(MONTH(tbl_daily[[#This Row],[Date]])/3,0)</f>
        <v>Q2</v>
      </c>
      <c r="V156" t="str">
        <f>TEXT(tbl_daily[[#This Row],[Date]],"dddd")</f>
        <v>Sunday</v>
      </c>
      <c r="W156" t="str">
        <f t="shared" si="6"/>
        <v>Profitable</v>
      </c>
      <c r="X156">
        <f t="shared" si="7"/>
        <v>33.029264475743354</v>
      </c>
      <c r="Y156">
        <f t="shared" si="8"/>
        <v>14.901982263954098</v>
      </c>
    </row>
    <row r="157" spans="1:25">
      <c r="A157" s="3">
        <v>45054</v>
      </c>
      <c r="B157" s="1">
        <v>5974.2650000000003</v>
      </c>
      <c r="C157" s="1">
        <v>6790</v>
      </c>
      <c r="D157" s="1">
        <v>815.73499999999967</v>
      </c>
      <c r="E157" s="1">
        <v>2183.6</v>
      </c>
      <c r="F157" s="1">
        <v>4250</v>
      </c>
      <c r="G157" s="1">
        <v>2066.4</v>
      </c>
      <c r="H157" s="1">
        <v>184</v>
      </c>
      <c r="I157" s="1">
        <v>1150</v>
      </c>
      <c r="J157" s="1">
        <v>966</v>
      </c>
      <c r="K157" s="1">
        <v>1288.3333333333333</v>
      </c>
      <c r="L157" s="1">
        <v>1660</v>
      </c>
      <c r="M157" s="1">
        <v>371.66666666666674</v>
      </c>
      <c r="N157" s="1">
        <v>2316.6666666666665</v>
      </c>
      <c r="O157" s="1">
        <v>13850</v>
      </c>
      <c r="P157" s="1">
        <v>4219.8016666666663</v>
      </c>
      <c r="Q157" s="1">
        <v>1903.135</v>
      </c>
      <c r="R157">
        <f>YEAR(tbl_daily[[#This Row],[Date]])</f>
        <v>2023</v>
      </c>
      <c r="S157" t="str">
        <f>TEXT(tbl_daily[[#This Row],[Date]],"mmmm")</f>
        <v>May</v>
      </c>
      <c r="T157">
        <f>MONTH(tbl_daily[[#This Row],[Date]])</f>
        <v>5</v>
      </c>
      <c r="U157" t="str">
        <f>"Q"&amp;ROUNDUP(MONTH(tbl_daily[[#This Row],[Date]])/3,0)</f>
        <v>Q2</v>
      </c>
      <c r="V157" t="str">
        <f>TEXT(tbl_daily[[#This Row],[Date]],"dddd")</f>
        <v>Monday</v>
      </c>
      <c r="W157" t="str">
        <f t="shared" si="6"/>
        <v>Profitable</v>
      </c>
      <c r="X157">
        <f t="shared" si="7"/>
        <v>30.467882069795426</v>
      </c>
      <c r="Y157">
        <f t="shared" si="8"/>
        <v>13.74104693140794</v>
      </c>
    </row>
    <row r="158" spans="1:25">
      <c r="A158" s="3">
        <v>45055</v>
      </c>
      <c r="B158" s="1">
        <v>4627.0599999999986</v>
      </c>
      <c r="C158" s="1">
        <v>7900</v>
      </c>
      <c r="D158" s="1">
        <v>3272.9400000000014</v>
      </c>
      <c r="E158" s="1">
        <v>1924.6000000000004</v>
      </c>
      <c r="F158" s="1">
        <v>4000</v>
      </c>
      <c r="G158" s="1">
        <v>2075.3999999999996</v>
      </c>
      <c r="H158" s="1">
        <v>60</v>
      </c>
      <c r="I158" s="1">
        <v>600</v>
      </c>
      <c r="J158" s="1">
        <v>540</v>
      </c>
      <c r="K158" s="1">
        <v>1248.3333333333333</v>
      </c>
      <c r="L158" s="1">
        <v>1570</v>
      </c>
      <c r="M158" s="1">
        <v>321.66666666666674</v>
      </c>
      <c r="N158" s="1">
        <v>2316.6666666666665</v>
      </c>
      <c r="O158" s="1">
        <v>14070</v>
      </c>
      <c r="P158" s="1">
        <v>6210.006666666668</v>
      </c>
      <c r="Q158" s="1">
        <v>3893.3400000000015</v>
      </c>
      <c r="R158">
        <f>YEAR(tbl_daily[[#This Row],[Date]])</f>
        <v>2023</v>
      </c>
      <c r="S158" t="str">
        <f>TEXT(tbl_daily[[#This Row],[Date]],"mmmm")</f>
        <v>May</v>
      </c>
      <c r="T158">
        <f>MONTH(tbl_daily[[#This Row],[Date]])</f>
        <v>5</v>
      </c>
      <c r="U158" t="str">
        <f>"Q"&amp;ROUNDUP(MONTH(tbl_daily[[#This Row],[Date]])/3,0)</f>
        <v>Q2</v>
      </c>
      <c r="V158" t="str">
        <f>TEXT(tbl_daily[[#This Row],[Date]],"dddd")</f>
        <v>Tuesday</v>
      </c>
      <c r="W158" t="str">
        <f t="shared" si="6"/>
        <v>Profitable</v>
      </c>
      <c r="X158">
        <f t="shared" si="7"/>
        <v>44.136507936507947</v>
      </c>
      <c r="Y158">
        <f t="shared" si="8"/>
        <v>27.671215351812378</v>
      </c>
    </row>
    <row r="159" spans="1:25">
      <c r="A159" s="3">
        <v>45056</v>
      </c>
      <c r="B159" s="1">
        <v>6482.2450000000026</v>
      </c>
      <c r="C159" s="1">
        <v>9880</v>
      </c>
      <c r="D159" s="1">
        <v>3397.7549999999974</v>
      </c>
      <c r="E159" s="1">
        <v>2991.4499999999994</v>
      </c>
      <c r="F159" s="1">
        <v>6500</v>
      </c>
      <c r="G159" s="1">
        <v>3508.5500000000006</v>
      </c>
      <c r="H159" s="1">
        <v>252</v>
      </c>
      <c r="I159" s="1">
        <v>1350</v>
      </c>
      <c r="J159" s="1">
        <v>1098</v>
      </c>
      <c r="K159" s="1">
        <v>2591.6666666666665</v>
      </c>
      <c r="L159" s="1">
        <v>3370</v>
      </c>
      <c r="M159" s="1">
        <v>778.33333333333348</v>
      </c>
      <c r="N159" s="1">
        <v>2316.6666666666665</v>
      </c>
      <c r="O159" s="1">
        <v>21100</v>
      </c>
      <c r="P159" s="1">
        <v>8782.6383333333324</v>
      </c>
      <c r="Q159" s="1">
        <v>6465.9716666666664</v>
      </c>
      <c r="R159">
        <f>YEAR(tbl_daily[[#This Row],[Date]])</f>
        <v>2023</v>
      </c>
      <c r="S159" t="str">
        <f>TEXT(tbl_daily[[#This Row],[Date]],"mmmm")</f>
        <v>May</v>
      </c>
      <c r="T159">
        <f>MONTH(tbl_daily[[#This Row],[Date]])</f>
        <v>5</v>
      </c>
      <c r="U159" t="str">
        <f>"Q"&amp;ROUNDUP(MONTH(tbl_daily[[#This Row],[Date]])/3,0)</f>
        <v>Q2</v>
      </c>
      <c r="V159" t="str">
        <f>TEXT(tbl_daily[[#This Row],[Date]],"dddd")</f>
        <v>Wednesday</v>
      </c>
      <c r="W159" t="str">
        <f t="shared" si="6"/>
        <v>Profitable</v>
      </c>
      <c r="X159">
        <f t="shared" si="7"/>
        <v>41.623878357030016</v>
      </c>
      <c r="Y159">
        <f t="shared" si="8"/>
        <v>30.644415481832542</v>
      </c>
    </row>
    <row r="160" spans="1:25">
      <c r="A160" s="3">
        <v>45057</v>
      </c>
      <c r="B160" s="1">
        <v>5419.4250000000002</v>
      </c>
      <c r="C160" s="1">
        <v>7110</v>
      </c>
      <c r="D160" s="1">
        <v>1690.5749999999998</v>
      </c>
      <c r="E160" s="1">
        <v>1744.9500000000005</v>
      </c>
      <c r="F160" s="1">
        <v>3250</v>
      </c>
      <c r="G160" s="1">
        <v>1505.0499999999995</v>
      </c>
      <c r="H160" s="1">
        <v>151.32000000000002</v>
      </c>
      <c r="I160" s="1">
        <v>1550</v>
      </c>
      <c r="J160" s="1">
        <v>1398.6799999999998</v>
      </c>
      <c r="K160" s="1">
        <v>2039.1666666666663</v>
      </c>
      <c r="L160" s="1">
        <v>2580</v>
      </c>
      <c r="M160" s="1">
        <v>540.83333333333348</v>
      </c>
      <c r="N160" s="1">
        <v>2316.6666666666665</v>
      </c>
      <c r="O160" s="1">
        <v>14490</v>
      </c>
      <c r="P160" s="1">
        <v>5135.1383333333342</v>
      </c>
      <c r="Q160" s="1">
        <v>2818.4716666666677</v>
      </c>
      <c r="R160">
        <f>YEAR(tbl_daily[[#This Row],[Date]])</f>
        <v>2023</v>
      </c>
      <c r="S160" t="str">
        <f>TEXT(tbl_daily[[#This Row],[Date]],"mmmm")</f>
        <v>May</v>
      </c>
      <c r="T160">
        <f>MONTH(tbl_daily[[#This Row],[Date]])</f>
        <v>5</v>
      </c>
      <c r="U160" t="str">
        <f>"Q"&amp;ROUNDUP(MONTH(tbl_daily[[#This Row],[Date]])/3,0)</f>
        <v>Q2</v>
      </c>
      <c r="V160" t="str">
        <f>TEXT(tbl_daily[[#This Row],[Date]],"dddd")</f>
        <v>Thursday</v>
      </c>
      <c r="W160" t="str">
        <f t="shared" si="6"/>
        <v>Profitable</v>
      </c>
      <c r="X160">
        <f t="shared" si="7"/>
        <v>35.439187945709691</v>
      </c>
      <c r="Y160">
        <f t="shared" si="8"/>
        <v>19.451150218541528</v>
      </c>
    </row>
    <row r="161" spans="1:25">
      <c r="A161" s="3">
        <v>45058</v>
      </c>
      <c r="B161" s="1">
        <v>6218.5199999999977</v>
      </c>
      <c r="C161" s="1">
        <v>9290</v>
      </c>
      <c r="D161" s="1">
        <v>3071.4800000000023</v>
      </c>
      <c r="E161" s="1">
        <v>2222.4</v>
      </c>
      <c r="F161" s="1">
        <v>4500</v>
      </c>
      <c r="G161" s="1">
        <v>2277.6</v>
      </c>
      <c r="H161" s="1">
        <v>252</v>
      </c>
      <c r="I161" s="1">
        <v>2050</v>
      </c>
      <c r="J161" s="1">
        <v>1798</v>
      </c>
      <c r="K161" s="1">
        <v>2790.8333333333335</v>
      </c>
      <c r="L161" s="1">
        <v>3660</v>
      </c>
      <c r="M161" s="1">
        <v>869.16666666666652</v>
      </c>
      <c r="N161" s="1">
        <v>2316.6666666666665</v>
      </c>
      <c r="O161" s="1">
        <v>19500</v>
      </c>
      <c r="P161" s="1">
        <v>8016.2466666666669</v>
      </c>
      <c r="Q161" s="1">
        <v>5699.5800000000017</v>
      </c>
      <c r="R161">
        <f>YEAR(tbl_daily[[#This Row],[Date]])</f>
        <v>2023</v>
      </c>
      <c r="S161" t="str">
        <f>TEXT(tbl_daily[[#This Row],[Date]],"mmmm")</f>
        <v>May</v>
      </c>
      <c r="T161">
        <f>MONTH(tbl_daily[[#This Row],[Date]])</f>
        <v>5</v>
      </c>
      <c r="U161" t="str">
        <f>"Q"&amp;ROUNDUP(MONTH(tbl_daily[[#This Row],[Date]])/3,0)</f>
        <v>Q2</v>
      </c>
      <c r="V161" t="str">
        <f>TEXT(tbl_daily[[#This Row],[Date]],"dddd")</f>
        <v>Friday</v>
      </c>
      <c r="W161" t="str">
        <f t="shared" si="6"/>
        <v>Profitable</v>
      </c>
      <c r="X161">
        <f t="shared" si="7"/>
        <v>41.108957264957269</v>
      </c>
      <c r="Y161">
        <f t="shared" si="8"/>
        <v>29.228615384615392</v>
      </c>
    </row>
    <row r="162" spans="1:25">
      <c r="A162" s="3">
        <v>45059</v>
      </c>
      <c r="B162" s="1">
        <v>6259.0299999999988</v>
      </c>
      <c r="C162" s="1">
        <v>6880</v>
      </c>
      <c r="D162" s="1">
        <v>620.97000000000116</v>
      </c>
      <c r="E162" s="1">
        <v>2304.75</v>
      </c>
      <c r="F162" s="1">
        <v>4500</v>
      </c>
      <c r="G162" s="1">
        <v>2195.25</v>
      </c>
      <c r="H162" s="1">
        <v>30</v>
      </c>
      <c r="I162" s="1">
        <v>300</v>
      </c>
      <c r="J162" s="1">
        <v>270</v>
      </c>
      <c r="K162" s="1">
        <v>2297.4999999999995</v>
      </c>
      <c r="L162" s="1">
        <v>2620</v>
      </c>
      <c r="M162" s="1">
        <v>322.50000000000045</v>
      </c>
      <c r="N162" s="1">
        <v>2316.6666666666665</v>
      </c>
      <c r="O162" s="1">
        <v>14300</v>
      </c>
      <c r="P162" s="1">
        <v>3408.7200000000016</v>
      </c>
      <c r="Q162" s="1">
        <v>1092.0533333333351</v>
      </c>
      <c r="R162">
        <f>YEAR(tbl_daily[[#This Row],[Date]])</f>
        <v>2023</v>
      </c>
      <c r="S162" t="str">
        <f>TEXT(tbl_daily[[#This Row],[Date]],"mmmm")</f>
        <v>May</v>
      </c>
      <c r="T162">
        <f>MONTH(tbl_daily[[#This Row],[Date]])</f>
        <v>5</v>
      </c>
      <c r="U162" t="str">
        <f>"Q"&amp;ROUNDUP(MONTH(tbl_daily[[#This Row],[Date]])/3,0)</f>
        <v>Q2</v>
      </c>
      <c r="V162" t="str">
        <f>TEXT(tbl_daily[[#This Row],[Date]],"dddd")</f>
        <v>Saturday</v>
      </c>
      <c r="W162" t="str">
        <f t="shared" si="6"/>
        <v>Profitable</v>
      </c>
      <c r="X162">
        <f t="shared" si="7"/>
        <v>23.83720279720281</v>
      </c>
      <c r="Y162">
        <f t="shared" si="8"/>
        <v>7.6367365967366094</v>
      </c>
    </row>
    <row r="163" spans="1:25">
      <c r="A163" s="3">
        <v>45060</v>
      </c>
      <c r="B163" s="1">
        <v>4925.7500000000009</v>
      </c>
      <c r="C163" s="1">
        <v>4580</v>
      </c>
      <c r="D163" s="1">
        <v>-345.75000000000091</v>
      </c>
      <c r="E163" s="1">
        <v>967.9000000000002</v>
      </c>
      <c r="F163" s="1">
        <v>750</v>
      </c>
      <c r="G163" s="1">
        <v>-217.9000000000002</v>
      </c>
      <c r="H163" s="1">
        <v>379.49</v>
      </c>
      <c r="I163" s="1">
        <v>2450</v>
      </c>
      <c r="J163" s="1">
        <v>2070.5100000000002</v>
      </c>
      <c r="K163" s="1">
        <v>2836.6666666666665</v>
      </c>
      <c r="L163" s="1">
        <v>3290</v>
      </c>
      <c r="M163" s="1">
        <v>453.33333333333343</v>
      </c>
      <c r="N163" s="1">
        <v>2316.6666666666665</v>
      </c>
      <c r="O163" s="1">
        <v>11070</v>
      </c>
      <c r="P163" s="1">
        <v>1960.193333333332</v>
      </c>
      <c r="Q163" s="1">
        <v>-356.47333333333427</v>
      </c>
      <c r="R163">
        <f>YEAR(tbl_daily[[#This Row],[Date]])</f>
        <v>2023</v>
      </c>
      <c r="S163" t="str">
        <f>TEXT(tbl_daily[[#This Row],[Date]],"mmmm")</f>
        <v>May</v>
      </c>
      <c r="T163">
        <f>MONTH(tbl_daily[[#This Row],[Date]])</f>
        <v>5</v>
      </c>
      <c r="U163" t="str">
        <f>"Q"&amp;ROUNDUP(MONTH(tbl_daily[[#This Row],[Date]])/3,0)</f>
        <v>Q2</v>
      </c>
      <c r="V163" t="str">
        <f>TEXT(tbl_daily[[#This Row],[Date]],"dddd")</f>
        <v>Sunday</v>
      </c>
      <c r="W163" t="str">
        <f t="shared" si="6"/>
        <v>Loss</v>
      </c>
      <c r="X163">
        <f t="shared" si="7"/>
        <v>17.707256850346269</v>
      </c>
      <c r="Y163">
        <f t="shared" si="8"/>
        <v>-3.2201746461909146</v>
      </c>
    </row>
    <row r="164" spans="1:25">
      <c r="A164" s="3">
        <v>45061</v>
      </c>
      <c r="B164" s="1">
        <v>5106.6750000000002</v>
      </c>
      <c r="C164" s="1">
        <v>4580</v>
      </c>
      <c r="D164" s="1">
        <v>-526.67500000000018</v>
      </c>
      <c r="E164" s="1">
        <v>1228.7</v>
      </c>
      <c r="F164" s="1">
        <v>2000</v>
      </c>
      <c r="G164" s="1">
        <v>771.3</v>
      </c>
      <c r="H164" s="1">
        <v>85.489999999999952</v>
      </c>
      <c r="I164" s="1">
        <v>350</v>
      </c>
      <c r="J164" s="1">
        <v>264.51000000000005</v>
      </c>
      <c r="K164" s="1">
        <v>2418.333333333333</v>
      </c>
      <c r="L164" s="1">
        <v>2950</v>
      </c>
      <c r="M164" s="1">
        <v>531.66666666666697</v>
      </c>
      <c r="N164" s="1">
        <v>2316.6666666666665</v>
      </c>
      <c r="O164" s="1">
        <v>9880</v>
      </c>
      <c r="P164" s="1">
        <v>1040.8016666666667</v>
      </c>
      <c r="Q164" s="1">
        <v>-1275.8649999999998</v>
      </c>
      <c r="R164">
        <f>YEAR(tbl_daily[[#This Row],[Date]])</f>
        <v>2023</v>
      </c>
      <c r="S164" t="str">
        <f>TEXT(tbl_daily[[#This Row],[Date]],"mmmm")</f>
        <v>May</v>
      </c>
      <c r="T164">
        <f>MONTH(tbl_daily[[#This Row],[Date]])</f>
        <v>5</v>
      </c>
      <c r="U164" t="str">
        <f>"Q"&amp;ROUNDUP(MONTH(tbl_daily[[#This Row],[Date]])/3,0)</f>
        <v>Q2</v>
      </c>
      <c r="V164" t="str">
        <f>TEXT(tbl_daily[[#This Row],[Date]],"dddd")</f>
        <v>Monday</v>
      </c>
      <c r="W164" t="str">
        <f t="shared" si="6"/>
        <v>Loss</v>
      </c>
      <c r="X164">
        <f t="shared" si="7"/>
        <v>10.534429824561405</v>
      </c>
      <c r="Y164">
        <f t="shared" si="8"/>
        <v>-12.913613360323883</v>
      </c>
    </row>
    <row r="165" spans="1:25">
      <c r="A165" s="3">
        <v>45062</v>
      </c>
      <c r="B165" s="1">
        <v>4780.1750000000011</v>
      </c>
      <c r="C165" s="1">
        <v>6430</v>
      </c>
      <c r="D165" s="1">
        <v>1649.8249999999989</v>
      </c>
      <c r="E165" s="1">
        <v>1599.1999999999998</v>
      </c>
      <c r="F165" s="1">
        <v>2750</v>
      </c>
      <c r="G165" s="1">
        <v>1150.8000000000002</v>
      </c>
      <c r="H165" s="1">
        <v>30</v>
      </c>
      <c r="I165" s="1">
        <v>300</v>
      </c>
      <c r="J165" s="1">
        <v>270</v>
      </c>
      <c r="K165" s="1">
        <v>1752.4999999999998</v>
      </c>
      <c r="L165" s="1">
        <v>2330</v>
      </c>
      <c r="M165" s="1">
        <v>577.50000000000023</v>
      </c>
      <c r="N165" s="1">
        <v>2316.6666666666665</v>
      </c>
      <c r="O165" s="1">
        <v>11810</v>
      </c>
      <c r="P165" s="1">
        <v>3648.1249999999991</v>
      </c>
      <c r="Q165" s="1">
        <v>1331.4583333333326</v>
      </c>
      <c r="R165">
        <f>YEAR(tbl_daily[[#This Row],[Date]])</f>
        <v>2023</v>
      </c>
      <c r="S165" t="str">
        <f>TEXT(tbl_daily[[#This Row],[Date]],"mmmm")</f>
        <v>May</v>
      </c>
      <c r="T165">
        <f>MONTH(tbl_daily[[#This Row],[Date]])</f>
        <v>5</v>
      </c>
      <c r="U165" t="str">
        <f>"Q"&amp;ROUNDUP(MONTH(tbl_daily[[#This Row],[Date]])/3,0)</f>
        <v>Q2</v>
      </c>
      <c r="V165" t="str">
        <f>TEXT(tbl_daily[[#This Row],[Date]],"dddd")</f>
        <v>Tuesday</v>
      </c>
      <c r="W165" t="str">
        <f t="shared" si="6"/>
        <v>Profitable</v>
      </c>
      <c r="X165">
        <f t="shared" si="7"/>
        <v>30.890135478408119</v>
      </c>
      <c r="Y165">
        <f t="shared" si="8"/>
        <v>11.273990968106117</v>
      </c>
    </row>
    <row r="166" spans="1:25">
      <c r="A166" s="3">
        <v>45063</v>
      </c>
      <c r="B166" s="1">
        <v>5782.8549999999996</v>
      </c>
      <c r="C166" s="1">
        <v>7160</v>
      </c>
      <c r="D166" s="1">
        <v>1377.1450000000004</v>
      </c>
      <c r="E166" s="1">
        <v>3075.05</v>
      </c>
      <c r="F166" s="1">
        <v>3750</v>
      </c>
      <c r="G166" s="1">
        <v>674.94999999999982</v>
      </c>
      <c r="H166" s="1">
        <v>210</v>
      </c>
      <c r="I166" s="1">
        <v>2100</v>
      </c>
      <c r="J166" s="1">
        <v>1890</v>
      </c>
      <c r="K166" s="1">
        <v>1776.666666666667</v>
      </c>
      <c r="L166" s="1">
        <v>2260</v>
      </c>
      <c r="M166" s="1">
        <v>483.33333333333303</v>
      </c>
      <c r="N166" s="1">
        <v>2316.6666666666665</v>
      </c>
      <c r="O166" s="1">
        <v>15270</v>
      </c>
      <c r="P166" s="1">
        <v>4425.4283333333333</v>
      </c>
      <c r="Q166" s="1">
        <v>2108.7616666666668</v>
      </c>
      <c r="R166">
        <f>YEAR(tbl_daily[[#This Row],[Date]])</f>
        <v>2023</v>
      </c>
      <c r="S166" t="str">
        <f>TEXT(tbl_daily[[#This Row],[Date]],"mmmm")</f>
        <v>May</v>
      </c>
      <c r="T166">
        <f>MONTH(tbl_daily[[#This Row],[Date]])</f>
        <v>5</v>
      </c>
      <c r="U166" t="str">
        <f>"Q"&amp;ROUNDUP(MONTH(tbl_daily[[#This Row],[Date]])/3,0)</f>
        <v>Q2</v>
      </c>
      <c r="V166" t="str">
        <f>TEXT(tbl_daily[[#This Row],[Date]],"dddd")</f>
        <v>Wednesday</v>
      </c>
      <c r="W166" t="str">
        <f t="shared" si="6"/>
        <v>Profitable</v>
      </c>
      <c r="X166">
        <f t="shared" si="7"/>
        <v>28.981194062431783</v>
      </c>
      <c r="Y166">
        <f t="shared" si="8"/>
        <v>13.809834097358657</v>
      </c>
    </row>
    <row r="167" spans="1:25">
      <c r="A167" s="3">
        <v>45064</v>
      </c>
      <c r="B167" s="1">
        <v>5588.05</v>
      </c>
      <c r="C167" s="1">
        <v>6400</v>
      </c>
      <c r="D167" s="1">
        <v>811.94999999999982</v>
      </c>
      <c r="E167" s="1">
        <v>539.20000000000005</v>
      </c>
      <c r="F167" s="1">
        <v>500</v>
      </c>
      <c r="G167" s="1">
        <v>-39.200000000000045</v>
      </c>
      <c r="H167" s="1">
        <v>338</v>
      </c>
      <c r="I167" s="1">
        <v>2000</v>
      </c>
      <c r="J167" s="1">
        <v>1662</v>
      </c>
      <c r="K167" s="1">
        <v>1040.8333333333333</v>
      </c>
      <c r="L167" s="1">
        <v>1410</v>
      </c>
      <c r="M167" s="1">
        <v>369.16666666666674</v>
      </c>
      <c r="N167" s="1">
        <v>2316.6666666666665</v>
      </c>
      <c r="O167" s="1">
        <v>10310</v>
      </c>
      <c r="P167" s="1">
        <v>2803.916666666667</v>
      </c>
      <c r="Q167" s="1">
        <v>487.25000000000045</v>
      </c>
      <c r="R167">
        <f>YEAR(tbl_daily[[#This Row],[Date]])</f>
        <v>2023</v>
      </c>
      <c r="S167" t="str">
        <f>TEXT(tbl_daily[[#This Row],[Date]],"mmmm")</f>
        <v>May</v>
      </c>
      <c r="T167">
        <f>MONTH(tbl_daily[[#This Row],[Date]])</f>
        <v>5</v>
      </c>
      <c r="U167" t="str">
        <f>"Q"&amp;ROUNDUP(MONTH(tbl_daily[[#This Row],[Date]])/3,0)</f>
        <v>Q2</v>
      </c>
      <c r="V167" t="str">
        <f>TEXT(tbl_daily[[#This Row],[Date]],"dddd")</f>
        <v>Thursday</v>
      </c>
      <c r="W167" t="str">
        <f t="shared" si="6"/>
        <v>Profitable</v>
      </c>
      <c r="X167">
        <f t="shared" si="7"/>
        <v>27.196087940510832</v>
      </c>
      <c r="Y167">
        <f t="shared" si="8"/>
        <v>4.7259941804073762</v>
      </c>
    </row>
    <row r="168" spans="1:25">
      <c r="A168" s="3">
        <v>45065</v>
      </c>
      <c r="B168" s="1">
        <v>4005.835</v>
      </c>
      <c r="C168" s="1">
        <v>4630</v>
      </c>
      <c r="D168" s="1">
        <v>624.16500000000042</v>
      </c>
      <c r="E168" s="1">
        <v>879.99999999999989</v>
      </c>
      <c r="F168" s="1">
        <v>1750</v>
      </c>
      <c r="G168" s="1">
        <v>870.00000000000011</v>
      </c>
      <c r="H168" s="1">
        <v>30</v>
      </c>
      <c r="I168" s="1">
        <v>250</v>
      </c>
      <c r="J168" s="1">
        <v>220</v>
      </c>
      <c r="K168" s="1">
        <v>2195.833333333333</v>
      </c>
      <c r="L168" s="1">
        <v>2770</v>
      </c>
      <c r="M168" s="1">
        <v>574.16666666666697</v>
      </c>
      <c r="N168" s="1">
        <v>2316.6666666666665</v>
      </c>
      <c r="O168" s="1">
        <v>9400</v>
      </c>
      <c r="P168" s="1">
        <v>2288.3316666666678</v>
      </c>
      <c r="Q168" s="1">
        <v>-28.334999999998672</v>
      </c>
      <c r="R168">
        <f>YEAR(tbl_daily[[#This Row],[Date]])</f>
        <v>2023</v>
      </c>
      <c r="S168" t="str">
        <f>TEXT(tbl_daily[[#This Row],[Date]],"mmmm")</f>
        <v>May</v>
      </c>
      <c r="T168">
        <f>MONTH(tbl_daily[[#This Row],[Date]])</f>
        <v>5</v>
      </c>
      <c r="U168" t="str">
        <f>"Q"&amp;ROUNDUP(MONTH(tbl_daily[[#This Row],[Date]])/3,0)</f>
        <v>Q2</v>
      </c>
      <c r="V168" t="str">
        <f>TEXT(tbl_daily[[#This Row],[Date]],"dddd")</f>
        <v>Friday</v>
      </c>
      <c r="W168" t="str">
        <f t="shared" si="6"/>
        <v>Loss</v>
      </c>
      <c r="X168">
        <f t="shared" si="7"/>
        <v>24.343953900709234</v>
      </c>
      <c r="Y168">
        <f t="shared" si="8"/>
        <v>-0.30143617021275182</v>
      </c>
    </row>
    <row r="169" spans="1:25">
      <c r="A169" s="3">
        <v>45066</v>
      </c>
      <c r="B169" s="1">
        <v>4038.5349999999985</v>
      </c>
      <c r="C169" s="1">
        <v>4190</v>
      </c>
      <c r="D169" s="1">
        <v>151.46500000000151</v>
      </c>
      <c r="E169" s="1">
        <v>925.00000000000011</v>
      </c>
      <c r="F169" s="1">
        <v>750</v>
      </c>
      <c r="G169" s="1">
        <v>-175.00000000000011</v>
      </c>
      <c r="H169" s="1">
        <v>410</v>
      </c>
      <c r="I169" s="1">
        <v>1700</v>
      </c>
      <c r="J169" s="1">
        <v>1290</v>
      </c>
      <c r="K169" s="1">
        <v>2263.333333333333</v>
      </c>
      <c r="L169" s="1">
        <v>2860</v>
      </c>
      <c r="M169" s="1">
        <v>596.66666666666697</v>
      </c>
      <c r="N169" s="1">
        <v>2316.6666666666665</v>
      </c>
      <c r="O169" s="1">
        <v>9500</v>
      </c>
      <c r="P169" s="1">
        <v>1863.1316666666685</v>
      </c>
      <c r="Q169" s="1">
        <v>-453.53499999999809</v>
      </c>
      <c r="R169">
        <f>YEAR(tbl_daily[[#This Row],[Date]])</f>
        <v>2023</v>
      </c>
      <c r="S169" t="str">
        <f>TEXT(tbl_daily[[#This Row],[Date]],"mmmm")</f>
        <v>May</v>
      </c>
      <c r="T169">
        <f>MONTH(tbl_daily[[#This Row],[Date]])</f>
        <v>5</v>
      </c>
      <c r="U169" t="str">
        <f>"Q"&amp;ROUNDUP(MONTH(tbl_daily[[#This Row],[Date]])/3,0)</f>
        <v>Q2</v>
      </c>
      <c r="V169" t="str">
        <f>TEXT(tbl_daily[[#This Row],[Date]],"dddd")</f>
        <v>Saturday</v>
      </c>
      <c r="W169" t="str">
        <f t="shared" si="6"/>
        <v>Loss</v>
      </c>
      <c r="X169">
        <f t="shared" si="7"/>
        <v>19.611912280701773</v>
      </c>
      <c r="Y169">
        <f t="shared" si="8"/>
        <v>-4.7740526315789271</v>
      </c>
    </row>
    <row r="170" spans="1:25">
      <c r="A170" s="3">
        <v>45067</v>
      </c>
      <c r="B170" s="1">
        <v>3456.9100000000012</v>
      </c>
      <c r="C170" s="1">
        <v>4190</v>
      </c>
      <c r="D170" s="1">
        <v>733.08999999999867</v>
      </c>
      <c r="E170" s="1">
        <v>1824.5</v>
      </c>
      <c r="F170" s="1">
        <v>3500</v>
      </c>
      <c r="G170" s="1">
        <v>1675.4999999999998</v>
      </c>
      <c r="H170" s="1">
        <v>128</v>
      </c>
      <c r="I170" s="1">
        <v>500</v>
      </c>
      <c r="J170" s="1">
        <v>372</v>
      </c>
      <c r="K170" s="1">
        <v>2110</v>
      </c>
      <c r="L170" s="1">
        <v>2320</v>
      </c>
      <c r="M170" s="1">
        <v>210</v>
      </c>
      <c r="N170" s="1">
        <v>2316.6666666666665</v>
      </c>
      <c r="O170" s="1">
        <v>10510</v>
      </c>
      <c r="P170" s="1">
        <v>2990.5899999999983</v>
      </c>
      <c r="Q170" s="1">
        <v>673.92333333333181</v>
      </c>
      <c r="R170">
        <f>YEAR(tbl_daily[[#This Row],[Date]])</f>
        <v>2023</v>
      </c>
      <c r="S170" t="str">
        <f>TEXT(tbl_daily[[#This Row],[Date]],"mmmm")</f>
        <v>May</v>
      </c>
      <c r="T170">
        <f>MONTH(tbl_daily[[#This Row],[Date]])</f>
        <v>5</v>
      </c>
      <c r="U170" t="str">
        <f>"Q"&amp;ROUNDUP(MONTH(tbl_daily[[#This Row],[Date]])/3,0)</f>
        <v>Q2</v>
      </c>
      <c r="V170" t="str">
        <f>TEXT(tbl_daily[[#This Row],[Date]],"dddd")</f>
        <v>Sunday</v>
      </c>
      <c r="W170" t="str">
        <f t="shared" si="6"/>
        <v>Profitable</v>
      </c>
      <c r="X170">
        <f t="shared" si="7"/>
        <v>28.45470980019028</v>
      </c>
      <c r="Y170">
        <f t="shared" si="8"/>
        <v>6.4122105930859359</v>
      </c>
    </row>
    <row r="171" spans="1:25">
      <c r="A171" s="3">
        <v>45068</v>
      </c>
      <c r="B171" s="1">
        <v>3456.9100000000012</v>
      </c>
      <c r="C171" s="1">
        <v>4310</v>
      </c>
      <c r="D171" s="1">
        <v>853.08999999999867</v>
      </c>
      <c r="E171" s="1">
        <v>1824.5</v>
      </c>
      <c r="F171" s="1">
        <v>3500</v>
      </c>
      <c r="G171" s="1">
        <v>1675.4999999999998</v>
      </c>
      <c r="H171" s="1">
        <v>128</v>
      </c>
      <c r="I171" s="1">
        <v>500</v>
      </c>
      <c r="J171" s="1">
        <v>372</v>
      </c>
      <c r="K171" s="1">
        <v>2110</v>
      </c>
      <c r="L171" s="1">
        <v>2320</v>
      </c>
      <c r="M171" s="1">
        <v>210</v>
      </c>
      <c r="N171" s="1">
        <v>2316.6666666666665</v>
      </c>
      <c r="O171" s="1">
        <v>10630</v>
      </c>
      <c r="P171" s="1">
        <v>3110.5899999999983</v>
      </c>
      <c r="Q171" s="1">
        <v>793.92333333333181</v>
      </c>
      <c r="R171">
        <f>YEAR(tbl_daily[[#This Row],[Date]])</f>
        <v>2023</v>
      </c>
      <c r="S171" t="str">
        <f>TEXT(tbl_daily[[#This Row],[Date]],"mmmm")</f>
        <v>May</v>
      </c>
      <c r="T171">
        <f>MONTH(tbl_daily[[#This Row],[Date]])</f>
        <v>5</v>
      </c>
      <c r="U171" t="str">
        <f>"Q"&amp;ROUNDUP(MONTH(tbl_daily[[#This Row],[Date]])/3,0)</f>
        <v>Q2</v>
      </c>
      <c r="V171" t="str">
        <f>TEXT(tbl_daily[[#This Row],[Date]],"dddd")</f>
        <v>Monday</v>
      </c>
      <c r="W171" t="str">
        <f t="shared" si="6"/>
        <v>Profitable</v>
      </c>
      <c r="X171">
        <f t="shared" si="7"/>
        <v>29.262370649106291</v>
      </c>
      <c r="Y171">
        <f t="shared" si="8"/>
        <v>7.4687049231733944</v>
      </c>
    </row>
    <row r="172" spans="1:25">
      <c r="A172" s="3">
        <v>45069</v>
      </c>
      <c r="B172" s="1">
        <v>4157.25</v>
      </c>
      <c r="C172" s="1">
        <v>4300</v>
      </c>
      <c r="D172" s="1">
        <v>142.75</v>
      </c>
      <c r="E172" s="1">
        <v>2636</v>
      </c>
      <c r="F172" s="1">
        <v>4750</v>
      </c>
      <c r="G172" s="1">
        <v>2114</v>
      </c>
      <c r="H172" s="1">
        <v>253.83</v>
      </c>
      <c r="I172" s="1">
        <v>930</v>
      </c>
      <c r="J172" s="1">
        <v>676.17</v>
      </c>
      <c r="K172" s="1">
        <v>1204.1666666666667</v>
      </c>
      <c r="L172" s="1">
        <v>1370</v>
      </c>
      <c r="M172" s="1">
        <v>165.83333333333326</v>
      </c>
      <c r="N172" s="1">
        <v>2316.6666666666665</v>
      </c>
      <c r="O172" s="1">
        <v>11350</v>
      </c>
      <c r="P172" s="1">
        <v>3098.7533333333331</v>
      </c>
      <c r="Q172" s="1">
        <v>782.08666666666659</v>
      </c>
      <c r="R172">
        <f>YEAR(tbl_daily[[#This Row],[Date]])</f>
        <v>2023</v>
      </c>
      <c r="S172" t="str">
        <f>TEXT(tbl_daily[[#This Row],[Date]],"mmmm")</f>
        <v>May</v>
      </c>
      <c r="T172">
        <f>MONTH(tbl_daily[[#This Row],[Date]])</f>
        <v>5</v>
      </c>
      <c r="U172" t="str">
        <f>"Q"&amp;ROUNDUP(MONTH(tbl_daily[[#This Row],[Date]])/3,0)</f>
        <v>Q2</v>
      </c>
      <c r="V172" t="str">
        <f>TEXT(tbl_daily[[#This Row],[Date]],"dddd")</f>
        <v>Tuesday</v>
      </c>
      <c r="W172" t="str">
        <f t="shared" si="6"/>
        <v>Profitable</v>
      </c>
      <c r="X172">
        <f t="shared" si="7"/>
        <v>27.301791483113071</v>
      </c>
      <c r="Y172">
        <f t="shared" si="8"/>
        <v>6.8906314243759175</v>
      </c>
    </row>
    <row r="173" spans="1:25">
      <c r="A173" s="3">
        <v>45070</v>
      </c>
      <c r="B173" s="1">
        <v>4490.2699999999995</v>
      </c>
      <c r="C173" s="1">
        <v>6040</v>
      </c>
      <c r="D173" s="1">
        <v>1549.7300000000005</v>
      </c>
      <c r="E173" s="1">
        <v>2165.2000000000007</v>
      </c>
      <c r="F173" s="1">
        <v>4000</v>
      </c>
      <c r="G173" s="1">
        <v>1834.7999999999993</v>
      </c>
      <c r="H173" s="1">
        <v>0</v>
      </c>
      <c r="I173" s="1">
        <v>1800</v>
      </c>
      <c r="J173" s="1">
        <v>1800</v>
      </c>
      <c r="K173" s="1">
        <v>1970.8333333333333</v>
      </c>
      <c r="L173" s="1">
        <v>2170</v>
      </c>
      <c r="M173" s="1">
        <v>199.16666666666671</v>
      </c>
      <c r="N173" s="1">
        <v>2316.6666666666665</v>
      </c>
      <c r="O173" s="1">
        <v>14010</v>
      </c>
      <c r="P173" s="1">
        <v>5383.6966666666667</v>
      </c>
      <c r="Q173" s="1">
        <v>3067.03</v>
      </c>
      <c r="R173">
        <f>YEAR(tbl_daily[[#This Row],[Date]])</f>
        <v>2023</v>
      </c>
      <c r="S173" t="str">
        <f>TEXT(tbl_daily[[#This Row],[Date]],"mmmm")</f>
        <v>May</v>
      </c>
      <c r="T173">
        <f>MONTH(tbl_daily[[#This Row],[Date]])</f>
        <v>5</v>
      </c>
      <c r="U173" t="str">
        <f>"Q"&amp;ROUNDUP(MONTH(tbl_daily[[#This Row],[Date]])/3,0)</f>
        <v>Q2</v>
      </c>
      <c r="V173" t="str">
        <f>TEXT(tbl_daily[[#This Row],[Date]],"dddd")</f>
        <v>Wednesday</v>
      </c>
      <c r="W173" t="str">
        <f t="shared" si="6"/>
        <v>Profitable</v>
      </c>
      <c r="X173">
        <f t="shared" si="7"/>
        <v>38.427527956221745</v>
      </c>
      <c r="Y173">
        <f t="shared" si="8"/>
        <v>21.891720199857247</v>
      </c>
    </row>
    <row r="174" spans="1:25">
      <c r="A174" s="3">
        <v>45071</v>
      </c>
      <c r="B174" s="1">
        <v>4890.7649999999985</v>
      </c>
      <c r="C174" s="1">
        <v>5580</v>
      </c>
      <c r="D174" s="1">
        <v>689.23500000000149</v>
      </c>
      <c r="E174" s="1">
        <v>1879.6</v>
      </c>
      <c r="F174" s="1">
        <v>2500</v>
      </c>
      <c r="G174" s="1">
        <v>620.39999999999986</v>
      </c>
      <c r="H174" s="1">
        <v>211.66000000000003</v>
      </c>
      <c r="I174" s="1">
        <v>1250</v>
      </c>
      <c r="J174" s="1">
        <v>1038.3399999999999</v>
      </c>
      <c r="K174" s="1">
        <v>1828.3333333333333</v>
      </c>
      <c r="L174" s="1">
        <v>2140</v>
      </c>
      <c r="M174" s="1">
        <v>311.66666666666674</v>
      </c>
      <c r="N174" s="1">
        <v>2316.6666666666665</v>
      </c>
      <c r="O174" s="1">
        <v>11470</v>
      </c>
      <c r="P174" s="1">
        <v>2659.6416666666678</v>
      </c>
      <c r="Q174" s="1">
        <v>342.97500000000173</v>
      </c>
      <c r="R174">
        <f>YEAR(tbl_daily[[#This Row],[Date]])</f>
        <v>2023</v>
      </c>
      <c r="S174" t="str">
        <f>TEXT(tbl_daily[[#This Row],[Date]],"mmmm")</f>
        <v>May</v>
      </c>
      <c r="T174">
        <f>MONTH(tbl_daily[[#This Row],[Date]])</f>
        <v>5</v>
      </c>
      <c r="U174" t="str">
        <f>"Q"&amp;ROUNDUP(MONTH(tbl_daily[[#This Row],[Date]])/3,0)</f>
        <v>Q2</v>
      </c>
      <c r="V174" t="str">
        <f>TEXT(tbl_daily[[#This Row],[Date]],"dddd")</f>
        <v>Thursday</v>
      </c>
      <c r="W174" t="str">
        <f t="shared" si="6"/>
        <v>Profitable</v>
      </c>
      <c r="X174">
        <f t="shared" si="7"/>
        <v>23.187808776518466</v>
      </c>
      <c r="Y174">
        <f t="shared" si="8"/>
        <v>2.990191804707949</v>
      </c>
    </row>
    <row r="175" spans="1:25">
      <c r="A175" s="3">
        <v>45072</v>
      </c>
      <c r="B175" s="1">
        <v>5837.6299999999983</v>
      </c>
      <c r="C175" s="1">
        <v>7150</v>
      </c>
      <c r="D175" s="1">
        <v>1312.3700000000017</v>
      </c>
      <c r="E175" s="1">
        <v>2154.1000000000004</v>
      </c>
      <c r="F175" s="1">
        <v>2000</v>
      </c>
      <c r="G175" s="1">
        <v>-154.10000000000036</v>
      </c>
      <c r="H175" s="1">
        <v>223.32000000000002</v>
      </c>
      <c r="I175" s="1">
        <v>3050</v>
      </c>
      <c r="J175" s="1">
        <v>2826.68</v>
      </c>
      <c r="K175" s="1">
        <v>1871.6666666666663</v>
      </c>
      <c r="L175" s="1">
        <v>2500</v>
      </c>
      <c r="M175" s="1">
        <v>628.33333333333348</v>
      </c>
      <c r="N175" s="1">
        <v>2316.6666666666665</v>
      </c>
      <c r="O175" s="1">
        <v>14700</v>
      </c>
      <c r="P175" s="1">
        <v>4613.2833333333347</v>
      </c>
      <c r="Q175" s="1">
        <v>2296.6166666666682</v>
      </c>
      <c r="R175">
        <f>YEAR(tbl_daily[[#This Row],[Date]])</f>
        <v>2023</v>
      </c>
      <c r="S175" t="str">
        <f>TEXT(tbl_daily[[#This Row],[Date]],"mmmm")</f>
        <v>May</v>
      </c>
      <c r="T175">
        <f>MONTH(tbl_daily[[#This Row],[Date]])</f>
        <v>5</v>
      </c>
      <c r="U175" t="str">
        <f>"Q"&amp;ROUNDUP(MONTH(tbl_daily[[#This Row],[Date]])/3,0)</f>
        <v>Q2</v>
      </c>
      <c r="V175" t="str">
        <f>TEXT(tbl_daily[[#This Row],[Date]],"dddd")</f>
        <v>Friday</v>
      </c>
      <c r="W175" t="str">
        <f t="shared" si="6"/>
        <v>Profitable</v>
      </c>
      <c r="X175">
        <f t="shared" si="7"/>
        <v>31.382879818594112</v>
      </c>
      <c r="Y175">
        <f t="shared" si="8"/>
        <v>15.623242630385498</v>
      </c>
    </row>
    <row r="176" spans="1:25">
      <c r="A176" s="3">
        <v>45073</v>
      </c>
      <c r="B176" s="1">
        <v>4867.99</v>
      </c>
      <c r="C176" s="1">
        <v>5150</v>
      </c>
      <c r="D176" s="1">
        <v>282.01000000000022</v>
      </c>
      <c r="E176" s="1">
        <v>1980.8</v>
      </c>
      <c r="F176" s="1">
        <v>2500</v>
      </c>
      <c r="G176" s="1">
        <v>519.19999999999982</v>
      </c>
      <c r="H176" s="1">
        <v>147.65999999999994</v>
      </c>
      <c r="I176" s="1">
        <v>1850</v>
      </c>
      <c r="J176" s="1">
        <v>1702.3400000000001</v>
      </c>
      <c r="K176" s="1">
        <v>1879.1666666666663</v>
      </c>
      <c r="L176" s="1">
        <v>2270</v>
      </c>
      <c r="M176" s="1">
        <v>390.83333333333343</v>
      </c>
      <c r="N176" s="1">
        <v>2316.6666666666665</v>
      </c>
      <c r="O176" s="1">
        <v>11770</v>
      </c>
      <c r="P176" s="1">
        <v>2894.3833333333337</v>
      </c>
      <c r="Q176" s="1">
        <v>577.71666666666715</v>
      </c>
      <c r="R176">
        <f>YEAR(tbl_daily[[#This Row],[Date]])</f>
        <v>2023</v>
      </c>
      <c r="S176" t="str">
        <f>TEXT(tbl_daily[[#This Row],[Date]],"mmmm")</f>
        <v>May</v>
      </c>
      <c r="T176">
        <f>MONTH(tbl_daily[[#This Row],[Date]])</f>
        <v>5</v>
      </c>
      <c r="U176" t="str">
        <f>"Q"&amp;ROUNDUP(MONTH(tbl_daily[[#This Row],[Date]])/3,0)</f>
        <v>Q2</v>
      </c>
      <c r="V176" t="str">
        <f>TEXT(tbl_daily[[#This Row],[Date]],"dddd")</f>
        <v>Saturday</v>
      </c>
      <c r="W176" t="str">
        <f t="shared" si="6"/>
        <v>Profitable</v>
      </c>
      <c r="X176">
        <f t="shared" si="7"/>
        <v>24.591192296799775</v>
      </c>
      <c r="Y176">
        <f t="shared" si="8"/>
        <v>4.9083828943642072</v>
      </c>
    </row>
    <row r="177" spans="1:25">
      <c r="A177" s="3">
        <v>45074</v>
      </c>
      <c r="B177" s="1">
        <v>6949.1600000000008</v>
      </c>
      <c r="C177" s="1">
        <v>5080</v>
      </c>
      <c r="D177" s="1">
        <v>-1869.1600000000008</v>
      </c>
      <c r="E177" s="1">
        <v>2254.0499999999997</v>
      </c>
      <c r="F177" s="1">
        <v>3000</v>
      </c>
      <c r="G177" s="1">
        <v>745.95000000000027</v>
      </c>
      <c r="H177" s="1">
        <v>385.49</v>
      </c>
      <c r="I177" s="1">
        <v>2200</v>
      </c>
      <c r="J177" s="1">
        <v>1814.51</v>
      </c>
      <c r="K177" s="1">
        <v>1986.6666666666663</v>
      </c>
      <c r="L177" s="1">
        <v>2380</v>
      </c>
      <c r="M177" s="1">
        <v>393.33333333333343</v>
      </c>
      <c r="N177" s="1">
        <v>2316.6666666666665</v>
      </c>
      <c r="O177" s="1">
        <v>12660</v>
      </c>
      <c r="P177" s="1">
        <v>1084.633333333333</v>
      </c>
      <c r="Q177" s="1">
        <v>-1232.0333333333335</v>
      </c>
      <c r="R177">
        <f>YEAR(tbl_daily[[#This Row],[Date]])</f>
        <v>2023</v>
      </c>
      <c r="S177" t="str">
        <f>TEXT(tbl_daily[[#This Row],[Date]],"mmmm")</f>
        <v>May</v>
      </c>
      <c r="T177">
        <f>MONTH(tbl_daily[[#This Row],[Date]])</f>
        <v>5</v>
      </c>
      <c r="U177" t="str">
        <f>"Q"&amp;ROUNDUP(MONTH(tbl_daily[[#This Row],[Date]])/3,0)</f>
        <v>Q2</v>
      </c>
      <c r="V177" t="str">
        <f>TEXT(tbl_daily[[#This Row],[Date]],"dddd")</f>
        <v>Sunday</v>
      </c>
      <c r="W177" t="str">
        <f t="shared" si="6"/>
        <v>Loss</v>
      </c>
      <c r="X177">
        <f t="shared" si="7"/>
        <v>8.5674038967877806</v>
      </c>
      <c r="Y177">
        <f t="shared" si="8"/>
        <v>-9.7317008952080073</v>
      </c>
    </row>
    <row r="178" spans="1:25">
      <c r="A178" s="3">
        <v>45075</v>
      </c>
      <c r="B178" s="1">
        <v>5420.5099999999984</v>
      </c>
      <c r="C178" s="1">
        <v>5620</v>
      </c>
      <c r="D178" s="1">
        <v>199.4900000000016</v>
      </c>
      <c r="E178" s="1">
        <v>3167.4</v>
      </c>
      <c r="F178" s="1">
        <v>4250</v>
      </c>
      <c r="G178" s="1">
        <v>1082.5999999999999</v>
      </c>
      <c r="H178" s="1">
        <v>237.83</v>
      </c>
      <c r="I178" s="1">
        <v>2750</v>
      </c>
      <c r="J178" s="1">
        <v>2512.17</v>
      </c>
      <c r="K178" s="1">
        <v>1123.3333333333333</v>
      </c>
      <c r="L178" s="1">
        <v>1440</v>
      </c>
      <c r="M178" s="1">
        <v>316.66666666666674</v>
      </c>
      <c r="N178" s="1">
        <v>2316.6666666666665</v>
      </c>
      <c r="O178" s="1">
        <v>14060</v>
      </c>
      <c r="P178" s="1">
        <v>4110.9266666666681</v>
      </c>
      <c r="Q178" s="1">
        <v>1794.2600000000016</v>
      </c>
      <c r="R178">
        <f>YEAR(tbl_daily[[#This Row],[Date]])</f>
        <v>2023</v>
      </c>
      <c r="S178" t="str">
        <f>TEXT(tbl_daily[[#This Row],[Date]],"mmmm")</f>
        <v>May</v>
      </c>
      <c r="T178">
        <f>MONTH(tbl_daily[[#This Row],[Date]])</f>
        <v>5</v>
      </c>
      <c r="U178" t="str">
        <f>"Q"&amp;ROUNDUP(MONTH(tbl_daily[[#This Row],[Date]])/3,0)</f>
        <v>Q2</v>
      </c>
      <c r="V178" t="str">
        <f>TEXT(tbl_daily[[#This Row],[Date]],"dddd")</f>
        <v>Monday</v>
      </c>
      <c r="W178" t="str">
        <f t="shared" si="6"/>
        <v>Profitable</v>
      </c>
      <c r="X178">
        <f t="shared" si="7"/>
        <v>29.23845424371741</v>
      </c>
      <c r="Y178">
        <f t="shared" si="8"/>
        <v>12.76145092460883</v>
      </c>
    </row>
    <row r="179" spans="1:25">
      <c r="A179" s="3">
        <v>45076</v>
      </c>
      <c r="B179" s="1">
        <v>5444.2750000000024</v>
      </c>
      <c r="C179" s="1">
        <v>5670</v>
      </c>
      <c r="D179" s="1">
        <v>225.72499999999764</v>
      </c>
      <c r="E179" s="1">
        <v>3629.55</v>
      </c>
      <c r="F179" s="1">
        <v>5500</v>
      </c>
      <c r="G179" s="1">
        <v>1870.4500000000005</v>
      </c>
      <c r="H179" s="1">
        <v>260</v>
      </c>
      <c r="I179" s="1">
        <v>2750</v>
      </c>
      <c r="J179" s="1">
        <v>2490</v>
      </c>
      <c r="K179" s="1">
        <v>1545.8333333333337</v>
      </c>
      <c r="L179" s="1">
        <v>1730</v>
      </c>
      <c r="M179" s="1">
        <v>184.16666666666652</v>
      </c>
      <c r="N179" s="1">
        <v>2316.6666666666665</v>
      </c>
      <c r="O179" s="1">
        <v>15650</v>
      </c>
      <c r="P179" s="1">
        <v>4770.3416666666635</v>
      </c>
      <c r="Q179" s="1">
        <v>2453.674999999997</v>
      </c>
      <c r="R179">
        <f>YEAR(tbl_daily[[#This Row],[Date]])</f>
        <v>2023</v>
      </c>
      <c r="S179" t="str">
        <f>TEXT(tbl_daily[[#This Row],[Date]],"mmmm")</f>
        <v>May</v>
      </c>
      <c r="T179">
        <f>MONTH(tbl_daily[[#This Row],[Date]])</f>
        <v>5</v>
      </c>
      <c r="U179" t="str">
        <f>"Q"&amp;ROUNDUP(MONTH(tbl_daily[[#This Row],[Date]])/3,0)</f>
        <v>Q2</v>
      </c>
      <c r="V179" t="str">
        <f>TEXT(tbl_daily[[#This Row],[Date]],"dddd")</f>
        <v>Tuesday</v>
      </c>
      <c r="W179" t="str">
        <f t="shared" si="6"/>
        <v>Profitable</v>
      </c>
      <c r="X179">
        <f t="shared" si="7"/>
        <v>30.481416400425964</v>
      </c>
      <c r="Y179">
        <f t="shared" si="8"/>
        <v>15.678434504792312</v>
      </c>
    </row>
    <row r="180" spans="1:25">
      <c r="A180" s="3">
        <v>45077</v>
      </c>
      <c r="B180" s="1">
        <v>4815.5549999999994</v>
      </c>
      <c r="C180" s="1">
        <v>5740</v>
      </c>
      <c r="D180" s="1">
        <v>924.44500000000062</v>
      </c>
      <c r="E180" s="1">
        <v>1701.2000000000005</v>
      </c>
      <c r="F180" s="1">
        <v>2000</v>
      </c>
      <c r="G180" s="1">
        <v>298.79999999999973</v>
      </c>
      <c r="H180" s="1">
        <v>260</v>
      </c>
      <c r="I180" s="1">
        <v>2250</v>
      </c>
      <c r="J180" s="1">
        <v>1990</v>
      </c>
      <c r="K180" s="1">
        <v>872.5</v>
      </c>
      <c r="L180" s="1">
        <v>1210</v>
      </c>
      <c r="M180" s="1">
        <v>337.5</v>
      </c>
      <c r="N180" s="1">
        <v>2316.6666666666665</v>
      </c>
      <c r="O180" s="1">
        <v>11200</v>
      </c>
      <c r="P180" s="1">
        <v>3550.7450000000003</v>
      </c>
      <c r="Q180" s="1">
        <v>1234.0783333333338</v>
      </c>
      <c r="R180">
        <f>YEAR(tbl_daily[[#This Row],[Date]])</f>
        <v>2023</v>
      </c>
      <c r="S180" t="str">
        <f>TEXT(tbl_daily[[#This Row],[Date]],"mmmm")</f>
        <v>May</v>
      </c>
      <c r="T180">
        <f>MONTH(tbl_daily[[#This Row],[Date]])</f>
        <v>5</v>
      </c>
      <c r="U180" t="str">
        <f>"Q"&amp;ROUNDUP(MONTH(tbl_daily[[#This Row],[Date]])/3,0)</f>
        <v>Q2</v>
      </c>
      <c r="V180" t="str">
        <f>TEXT(tbl_daily[[#This Row],[Date]],"dddd")</f>
        <v>Wednesday</v>
      </c>
      <c r="W180" t="str">
        <f t="shared" si="6"/>
        <v>Profitable</v>
      </c>
      <c r="X180">
        <f t="shared" si="7"/>
        <v>31.703080357142859</v>
      </c>
      <c r="Y180">
        <f t="shared" si="8"/>
        <v>11.018556547619053</v>
      </c>
    </row>
    <row r="181" spans="1:25">
      <c r="A181" s="3">
        <v>45078</v>
      </c>
      <c r="B181" s="1">
        <v>7191.2250000000004</v>
      </c>
      <c r="C181" s="1">
        <v>8450</v>
      </c>
      <c r="D181" s="1">
        <v>1258.7749999999996</v>
      </c>
      <c r="E181" s="1">
        <v>1701.9</v>
      </c>
      <c r="F181" s="1">
        <v>3000</v>
      </c>
      <c r="G181" s="1">
        <v>1298.0999999999999</v>
      </c>
      <c r="H181" s="1">
        <v>164</v>
      </c>
      <c r="I181" s="1">
        <v>1500</v>
      </c>
      <c r="J181" s="1">
        <v>1336</v>
      </c>
      <c r="K181" s="1">
        <v>659.16666666666663</v>
      </c>
      <c r="L181" s="1">
        <v>870</v>
      </c>
      <c r="M181" s="1">
        <v>210.83333333333337</v>
      </c>
      <c r="N181" s="1">
        <v>2316.6666666666665</v>
      </c>
      <c r="O181" s="1">
        <v>13820</v>
      </c>
      <c r="P181" s="1">
        <v>4103.708333333333</v>
      </c>
      <c r="Q181" s="1">
        <v>1787.0416666666663</v>
      </c>
      <c r="R181">
        <f>YEAR(tbl_daily[[#This Row],[Date]])</f>
        <v>2023</v>
      </c>
      <c r="S181" t="str">
        <f>TEXT(tbl_daily[[#This Row],[Date]],"mmmm")</f>
        <v>June</v>
      </c>
      <c r="T181">
        <f>MONTH(tbl_daily[[#This Row],[Date]])</f>
        <v>6</v>
      </c>
      <c r="U181" t="str">
        <f>"Q"&amp;ROUNDUP(MONTH(tbl_daily[[#This Row],[Date]])/3,0)</f>
        <v>Q2</v>
      </c>
      <c r="V181" t="str">
        <f>TEXT(tbl_daily[[#This Row],[Date]],"dddd")</f>
        <v>Thursday</v>
      </c>
      <c r="W181" t="str">
        <f t="shared" si="6"/>
        <v>Profitable</v>
      </c>
      <c r="X181">
        <f t="shared" si="7"/>
        <v>29.693982151471292</v>
      </c>
      <c r="Y181">
        <f t="shared" si="8"/>
        <v>12.930836951278337</v>
      </c>
    </row>
    <row r="182" spans="1:25">
      <c r="A182" s="3">
        <v>45079</v>
      </c>
      <c r="B182" s="1">
        <v>5258.7999999999984</v>
      </c>
      <c r="C182" s="1">
        <v>5010</v>
      </c>
      <c r="D182" s="1">
        <v>-248.79999999999836</v>
      </c>
      <c r="E182" s="1">
        <v>2576.1999999999998</v>
      </c>
      <c r="F182" s="1">
        <v>3250</v>
      </c>
      <c r="G182" s="1">
        <v>673.80000000000018</v>
      </c>
      <c r="H182" s="1">
        <v>161</v>
      </c>
      <c r="I182" s="1">
        <v>1120</v>
      </c>
      <c r="J182" s="1">
        <v>959</v>
      </c>
      <c r="K182" s="1">
        <v>1201.6666666666667</v>
      </c>
      <c r="L182" s="1">
        <v>1520</v>
      </c>
      <c r="M182" s="1">
        <v>318.33333333333326</v>
      </c>
      <c r="N182" s="1">
        <v>2316.6666666666665</v>
      </c>
      <c r="O182" s="1">
        <v>10900</v>
      </c>
      <c r="P182" s="1">
        <v>1702.3333333333353</v>
      </c>
      <c r="Q182" s="1">
        <v>-614.33333333333144</v>
      </c>
      <c r="R182">
        <f>YEAR(tbl_daily[[#This Row],[Date]])</f>
        <v>2023</v>
      </c>
      <c r="S182" t="str">
        <f>TEXT(tbl_daily[[#This Row],[Date]],"mmmm")</f>
        <v>June</v>
      </c>
      <c r="T182">
        <f>MONTH(tbl_daily[[#This Row],[Date]])</f>
        <v>6</v>
      </c>
      <c r="U182" t="str">
        <f>"Q"&amp;ROUNDUP(MONTH(tbl_daily[[#This Row],[Date]])/3,0)</f>
        <v>Q2</v>
      </c>
      <c r="V182" t="str">
        <f>TEXT(tbl_daily[[#This Row],[Date]],"dddd")</f>
        <v>Friday</v>
      </c>
      <c r="W182" t="str">
        <f t="shared" si="6"/>
        <v>Loss</v>
      </c>
      <c r="X182">
        <f t="shared" si="7"/>
        <v>15.617737003058121</v>
      </c>
      <c r="Y182">
        <f t="shared" si="8"/>
        <v>-5.6360856269112976</v>
      </c>
    </row>
    <row r="183" spans="1:25">
      <c r="A183" s="3">
        <v>45080</v>
      </c>
      <c r="B183" s="1">
        <v>4419.010000000002</v>
      </c>
      <c r="C183" s="1">
        <v>5980</v>
      </c>
      <c r="D183" s="1">
        <v>1560.989999999998</v>
      </c>
      <c r="E183" s="1">
        <v>1977.05</v>
      </c>
      <c r="F183" s="1">
        <v>2610</v>
      </c>
      <c r="G183" s="1">
        <v>632.95000000000005</v>
      </c>
      <c r="H183" s="1">
        <v>174.65999999999997</v>
      </c>
      <c r="I183" s="1">
        <v>1020</v>
      </c>
      <c r="J183" s="1">
        <v>845.34</v>
      </c>
      <c r="K183" s="1">
        <v>1854.1666666666667</v>
      </c>
      <c r="L183" s="1">
        <v>2530</v>
      </c>
      <c r="M183" s="1">
        <v>675.83333333333326</v>
      </c>
      <c r="N183" s="1">
        <v>2316.6666666666665</v>
      </c>
      <c r="O183" s="1">
        <v>12140</v>
      </c>
      <c r="P183" s="1">
        <v>3715.113333333331</v>
      </c>
      <c r="Q183" s="1">
        <v>1398.4466666666644</v>
      </c>
      <c r="R183">
        <f>YEAR(tbl_daily[[#This Row],[Date]])</f>
        <v>2023</v>
      </c>
      <c r="S183" t="str">
        <f>TEXT(tbl_daily[[#This Row],[Date]],"mmmm")</f>
        <v>June</v>
      </c>
      <c r="T183">
        <f>MONTH(tbl_daily[[#This Row],[Date]])</f>
        <v>6</v>
      </c>
      <c r="U183" t="str">
        <f>"Q"&amp;ROUNDUP(MONTH(tbl_daily[[#This Row],[Date]])/3,0)</f>
        <v>Q2</v>
      </c>
      <c r="V183" t="str">
        <f>TEXT(tbl_daily[[#This Row],[Date]],"dddd")</f>
        <v>Saturday</v>
      </c>
      <c r="W183" t="str">
        <f t="shared" si="6"/>
        <v>Profitable</v>
      </c>
      <c r="X183">
        <f t="shared" si="7"/>
        <v>30.602251510159235</v>
      </c>
      <c r="Y183">
        <f t="shared" si="8"/>
        <v>11.519330038440399</v>
      </c>
    </row>
    <row r="184" spans="1:25">
      <c r="A184" s="3">
        <v>45081</v>
      </c>
      <c r="B184" s="1">
        <v>4730.8749999999982</v>
      </c>
      <c r="C184" s="1">
        <v>5280</v>
      </c>
      <c r="D184" s="1">
        <v>549.12500000000182</v>
      </c>
      <c r="E184" s="1">
        <v>2083.7999999999997</v>
      </c>
      <c r="F184" s="1">
        <v>3430</v>
      </c>
      <c r="G184" s="1">
        <v>1346.2000000000005</v>
      </c>
      <c r="H184" s="1">
        <v>104.66000000000001</v>
      </c>
      <c r="I184" s="1">
        <v>650</v>
      </c>
      <c r="J184" s="1">
        <v>545.33999999999992</v>
      </c>
      <c r="K184" s="1">
        <v>2107.5</v>
      </c>
      <c r="L184" s="1">
        <v>2710</v>
      </c>
      <c r="M184" s="1">
        <v>602.5</v>
      </c>
      <c r="N184" s="1">
        <v>2316.6666666666665</v>
      </c>
      <c r="O184" s="1">
        <v>12070</v>
      </c>
      <c r="P184" s="1">
        <v>3043.1650000000022</v>
      </c>
      <c r="Q184" s="1">
        <v>726.49833333333572</v>
      </c>
      <c r="R184">
        <f>YEAR(tbl_daily[[#This Row],[Date]])</f>
        <v>2023</v>
      </c>
      <c r="S184" t="str">
        <f>TEXT(tbl_daily[[#This Row],[Date]],"mmmm")</f>
        <v>June</v>
      </c>
      <c r="T184">
        <f>MONTH(tbl_daily[[#This Row],[Date]])</f>
        <v>6</v>
      </c>
      <c r="U184" t="str">
        <f>"Q"&amp;ROUNDUP(MONTH(tbl_daily[[#This Row],[Date]])/3,0)</f>
        <v>Q2</v>
      </c>
      <c r="V184" t="str">
        <f>TEXT(tbl_daily[[#This Row],[Date]],"dddd")</f>
        <v>Sunday</v>
      </c>
      <c r="W184" t="str">
        <f t="shared" si="6"/>
        <v>Profitable</v>
      </c>
      <c r="X184">
        <f t="shared" si="7"/>
        <v>25.212634631317332</v>
      </c>
      <c r="Y184">
        <f t="shared" si="8"/>
        <v>6.019041701187537</v>
      </c>
    </row>
    <row r="185" spans="1:25">
      <c r="A185" s="3">
        <v>45082</v>
      </c>
      <c r="B185" s="1">
        <v>4062.8150000000001</v>
      </c>
      <c r="C185" s="1">
        <v>4280</v>
      </c>
      <c r="D185" s="1">
        <v>217.18499999999997</v>
      </c>
      <c r="E185" s="1">
        <v>1404.45</v>
      </c>
      <c r="F185" s="1">
        <v>2680</v>
      </c>
      <c r="G185" s="1">
        <v>1275.55</v>
      </c>
      <c r="H185" s="1">
        <v>25</v>
      </c>
      <c r="I185" s="1">
        <v>300</v>
      </c>
      <c r="J185" s="1">
        <v>275</v>
      </c>
      <c r="K185" s="1">
        <v>1596.6666666666667</v>
      </c>
      <c r="L185" s="1">
        <v>2140</v>
      </c>
      <c r="M185" s="1">
        <v>543.33333333333326</v>
      </c>
      <c r="N185" s="1">
        <v>2316.6666666666665</v>
      </c>
      <c r="O185" s="1">
        <v>9400</v>
      </c>
      <c r="P185" s="1">
        <v>2311.0683333333332</v>
      </c>
      <c r="Q185" s="1">
        <v>-5.5983333333333576</v>
      </c>
      <c r="R185">
        <f>YEAR(tbl_daily[[#This Row],[Date]])</f>
        <v>2023</v>
      </c>
      <c r="S185" t="str">
        <f>TEXT(tbl_daily[[#This Row],[Date]],"mmmm")</f>
        <v>June</v>
      </c>
      <c r="T185">
        <f>MONTH(tbl_daily[[#This Row],[Date]])</f>
        <v>6</v>
      </c>
      <c r="U185" t="str">
        <f>"Q"&amp;ROUNDUP(MONTH(tbl_daily[[#This Row],[Date]])/3,0)</f>
        <v>Q2</v>
      </c>
      <c r="V185" t="str">
        <f>TEXT(tbl_daily[[#This Row],[Date]],"dddd")</f>
        <v>Monday</v>
      </c>
      <c r="W185" t="str">
        <f t="shared" si="6"/>
        <v>Loss</v>
      </c>
      <c r="X185">
        <f t="shared" si="7"/>
        <v>24.585833333333333</v>
      </c>
      <c r="Y185">
        <f t="shared" si="8"/>
        <v>-5.9556737588652736E-2</v>
      </c>
    </row>
    <row r="186" spans="1:25">
      <c r="A186" s="3">
        <v>45083</v>
      </c>
      <c r="B186" s="1">
        <v>6301.9000000000005</v>
      </c>
      <c r="C186" s="1">
        <v>4180</v>
      </c>
      <c r="D186" s="1">
        <v>-2121.9000000000005</v>
      </c>
      <c r="E186" s="1">
        <v>2172.3500000000004</v>
      </c>
      <c r="F186" s="1">
        <v>5400</v>
      </c>
      <c r="G186" s="1">
        <v>3227.6499999999996</v>
      </c>
      <c r="H186" s="1">
        <v>125</v>
      </c>
      <c r="I186" s="1">
        <v>1500</v>
      </c>
      <c r="J186" s="1">
        <v>1375</v>
      </c>
      <c r="K186" s="1">
        <v>3455</v>
      </c>
      <c r="L186" s="1">
        <v>4520</v>
      </c>
      <c r="M186" s="1">
        <v>1065</v>
      </c>
      <c r="N186" s="1">
        <v>2316.6666666666665</v>
      </c>
      <c r="O186" s="1">
        <v>15600</v>
      </c>
      <c r="P186" s="1">
        <v>3545.7499999999991</v>
      </c>
      <c r="Q186" s="1">
        <v>1229.0833333333326</v>
      </c>
      <c r="R186">
        <f>YEAR(tbl_daily[[#This Row],[Date]])</f>
        <v>2023</v>
      </c>
      <c r="S186" t="str">
        <f>TEXT(tbl_daily[[#This Row],[Date]],"mmmm")</f>
        <v>June</v>
      </c>
      <c r="T186">
        <f>MONTH(tbl_daily[[#This Row],[Date]])</f>
        <v>6</v>
      </c>
      <c r="U186" t="str">
        <f>"Q"&amp;ROUNDUP(MONTH(tbl_daily[[#This Row],[Date]])/3,0)</f>
        <v>Q2</v>
      </c>
      <c r="V186" t="str">
        <f>TEXT(tbl_daily[[#This Row],[Date]],"dddd")</f>
        <v>Tuesday</v>
      </c>
      <c r="W186" t="str">
        <f t="shared" si="6"/>
        <v>Profitable</v>
      </c>
      <c r="X186">
        <f t="shared" si="7"/>
        <v>22.729166666666661</v>
      </c>
      <c r="Y186">
        <f t="shared" si="8"/>
        <v>7.8787393162393107</v>
      </c>
    </row>
    <row r="187" spans="1:25">
      <c r="A187" s="3">
        <v>45084</v>
      </c>
      <c r="B187" s="1">
        <v>3733.2249999999985</v>
      </c>
      <c r="C187" s="1">
        <v>3910</v>
      </c>
      <c r="D187" s="1">
        <v>176.77500000000191</v>
      </c>
      <c r="E187" s="1">
        <v>1431.1999999999998</v>
      </c>
      <c r="F187" s="1">
        <v>2000</v>
      </c>
      <c r="G187" s="1">
        <v>568.80000000000018</v>
      </c>
      <c r="H187" s="1">
        <v>221</v>
      </c>
      <c r="I187" s="1">
        <v>2070</v>
      </c>
      <c r="J187" s="1">
        <v>1849</v>
      </c>
      <c r="K187" s="1">
        <v>2037.5</v>
      </c>
      <c r="L187" s="1">
        <v>2710</v>
      </c>
      <c r="M187" s="1">
        <v>672.5</v>
      </c>
      <c r="N187" s="1">
        <v>2316.6666666666665</v>
      </c>
      <c r="O187" s="1">
        <v>10690</v>
      </c>
      <c r="P187" s="1">
        <v>3267.0750000000021</v>
      </c>
      <c r="Q187" s="1">
        <v>950.40833333333558</v>
      </c>
      <c r="R187">
        <f>YEAR(tbl_daily[[#This Row],[Date]])</f>
        <v>2023</v>
      </c>
      <c r="S187" t="str">
        <f>TEXT(tbl_daily[[#This Row],[Date]],"mmmm")</f>
        <v>June</v>
      </c>
      <c r="T187">
        <f>MONTH(tbl_daily[[#This Row],[Date]])</f>
        <v>6</v>
      </c>
      <c r="U187" t="str">
        <f>"Q"&amp;ROUNDUP(MONTH(tbl_daily[[#This Row],[Date]])/3,0)</f>
        <v>Q2</v>
      </c>
      <c r="V187" t="str">
        <f>TEXT(tbl_daily[[#This Row],[Date]],"dddd")</f>
        <v>Wednesday</v>
      </c>
      <c r="W187" t="str">
        <f t="shared" si="6"/>
        <v>Profitable</v>
      </c>
      <c r="X187">
        <f t="shared" si="7"/>
        <v>30.56197380729656</v>
      </c>
      <c r="Y187">
        <f t="shared" si="8"/>
        <v>8.8906298721546833</v>
      </c>
    </row>
    <row r="188" spans="1:25">
      <c r="A188" s="3">
        <v>45088</v>
      </c>
      <c r="B188" s="1">
        <v>6067.6199999999981</v>
      </c>
      <c r="C188" s="1">
        <v>7290</v>
      </c>
      <c r="D188" s="1">
        <v>1222.3800000000019</v>
      </c>
      <c r="E188" s="1">
        <v>3267.4</v>
      </c>
      <c r="F188" s="1">
        <v>5250</v>
      </c>
      <c r="G188" s="1">
        <v>2500</v>
      </c>
      <c r="H188" s="1">
        <v>100</v>
      </c>
      <c r="I188" s="1">
        <v>1200</v>
      </c>
      <c r="J188" s="1">
        <v>1100</v>
      </c>
      <c r="K188" s="1">
        <v>2706.666666666667</v>
      </c>
      <c r="L188" s="1">
        <v>3460</v>
      </c>
      <c r="M188" s="1">
        <v>753.33333333333292</v>
      </c>
      <c r="N188" s="1">
        <v>2316.6666666666665</v>
      </c>
      <c r="O188" s="1">
        <v>17200</v>
      </c>
      <c r="P188" s="1">
        <v>5575.713333333335</v>
      </c>
      <c r="Q188" s="1">
        <v>3259.0466666666684</v>
      </c>
      <c r="R188">
        <f>YEAR(tbl_daily[[#This Row],[Date]])</f>
        <v>2023</v>
      </c>
      <c r="S188" t="str">
        <f>TEXT(tbl_daily[[#This Row],[Date]],"mmmm")</f>
        <v>June</v>
      </c>
      <c r="T188">
        <f>MONTH(tbl_daily[[#This Row],[Date]])</f>
        <v>6</v>
      </c>
      <c r="U188" t="str">
        <f>"Q"&amp;ROUNDUP(MONTH(tbl_daily[[#This Row],[Date]])/3,0)</f>
        <v>Q2</v>
      </c>
      <c r="V188" t="str">
        <f>TEXT(tbl_daily[[#This Row],[Date]],"dddd")</f>
        <v>Sunday</v>
      </c>
      <c r="W188" t="str">
        <f t="shared" si="6"/>
        <v>Profitable</v>
      </c>
      <c r="X188">
        <f t="shared" si="7"/>
        <v>32.416937984496137</v>
      </c>
      <c r="Y188">
        <f t="shared" si="8"/>
        <v>18.947945736434118</v>
      </c>
    </row>
    <row r="189" spans="1:25">
      <c r="A189" s="3">
        <v>45089</v>
      </c>
      <c r="B189" s="1">
        <v>5114.4600000000009</v>
      </c>
      <c r="C189" s="1">
        <v>4860</v>
      </c>
      <c r="D189" s="1">
        <v>-254.46000000000095</v>
      </c>
      <c r="E189" s="1">
        <v>1375.0500000000002</v>
      </c>
      <c r="F189" s="1">
        <v>2000</v>
      </c>
      <c r="G189" s="1">
        <v>624.94999999999982</v>
      </c>
      <c r="H189" s="1">
        <v>25</v>
      </c>
      <c r="I189" s="1">
        <v>300</v>
      </c>
      <c r="J189" s="1">
        <v>275</v>
      </c>
      <c r="K189" s="1">
        <v>2245</v>
      </c>
      <c r="L189" s="1">
        <v>2700</v>
      </c>
      <c r="M189" s="1">
        <v>455</v>
      </c>
      <c r="N189" s="1">
        <v>2316.6666666666665</v>
      </c>
      <c r="O189" s="1">
        <v>9860</v>
      </c>
      <c r="P189" s="1">
        <v>1100.4899999999989</v>
      </c>
      <c r="Q189" s="1">
        <v>-1216.1766666666676</v>
      </c>
      <c r="R189">
        <f>YEAR(tbl_daily[[#This Row],[Date]])</f>
        <v>2023</v>
      </c>
      <c r="S189" t="str">
        <f>TEXT(tbl_daily[[#This Row],[Date]],"mmmm")</f>
        <v>June</v>
      </c>
      <c r="T189">
        <f>MONTH(tbl_daily[[#This Row],[Date]])</f>
        <v>6</v>
      </c>
      <c r="U189" t="str">
        <f>"Q"&amp;ROUNDUP(MONTH(tbl_daily[[#This Row],[Date]])/3,0)</f>
        <v>Q2</v>
      </c>
      <c r="V189" t="str">
        <f>TEXT(tbl_daily[[#This Row],[Date]],"dddd")</f>
        <v>Monday</v>
      </c>
      <c r="W189" t="str">
        <f t="shared" si="6"/>
        <v>Loss</v>
      </c>
      <c r="X189">
        <f t="shared" si="7"/>
        <v>11.161156186612564</v>
      </c>
      <c r="Y189">
        <f t="shared" si="8"/>
        <v>-12.334448951994601</v>
      </c>
    </row>
    <row r="190" spans="1:25">
      <c r="A190" s="3">
        <v>45090</v>
      </c>
      <c r="B190" s="1">
        <v>4657.0449999999992</v>
      </c>
      <c r="C190" s="1">
        <v>5240</v>
      </c>
      <c r="D190" s="1">
        <v>582.95500000000084</v>
      </c>
      <c r="E190" s="1">
        <v>2325.85</v>
      </c>
      <c r="F190" s="1">
        <v>4300</v>
      </c>
      <c r="G190" s="1">
        <v>1974.15</v>
      </c>
      <c r="H190" s="1">
        <v>178.83</v>
      </c>
      <c r="I190" s="1">
        <v>1250</v>
      </c>
      <c r="J190" s="1">
        <v>1071.17</v>
      </c>
      <c r="K190" s="1">
        <v>2645.833333333333</v>
      </c>
      <c r="L190" s="1">
        <v>3110</v>
      </c>
      <c r="M190" s="1">
        <v>464.16666666666697</v>
      </c>
      <c r="N190" s="1">
        <v>2316.6666666666665</v>
      </c>
      <c r="O190" s="1">
        <v>13900</v>
      </c>
      <c r="P190" s="1">
        <v>4092.441666666668</v>
      </c>
      <c r="Q190" s="1">
        <v>1775.7750000000017</v>
      </c>
      <c r="R190">
        <f>YEAR(tbl_daily[[#This Row],[Date]])</f>
        <v>2023</v>
      </c>
      <c r="S190" t="str">
        <f>TEXT(tbl_daily[[#This Row],[Date]],"mmmm")</f>
        <v>June</v>
      </c>
      <c r="T190">
        <f>MONTH(tbl_daily[[#This Row],[Date]])</f>
        <v>6</v>
      </c>
      <c r="U190" t="str">
        <f>"Q"&amp;ROUNDUP(MONTH(tbl_daily[[#This Row],[Date]])/3,0)</f>
        <v>Q2</v>
      </c>
      <c r="V190" t="str">
        <f>TEXT(tbl_daily[[#This Row],[Date]],"dddd")</f>
        <v>Tuesday</v>
      </c>
      <c r="W190" t="str">
        <f t="shared" si="6"/>
        <v>Profitable</v>
      </c>
      <c r="X190">
        <f t="shared" si="7"/>
        <v>29.442026378896891</v>
      </c>
      <c r="Y190">
        <f t="shared" si="8"/>
        <v>12.775359712230227</v>
      </c>
    </row>
    <row r="191" spans="1:25">
      <c r="A191" s="3">
        <v>45091</v>
      </c>
      <c r="B191" s="1">
        <v>4249.3550000000014</v>
      </c>
      <c r="C191" s="1">
        <v>5510</v>
      </c>
      <c r="D191" s="1">
        <v>1260.6449999999986</v>
      </c>
      <c r="E191" s="1">
        <v>1100.2999999999995</v>
      </c>
      <c r="F191" s="1">
        <v>1800</v>
      </c>
      <c r="G191" s="1">
        <v>699.70000000000027</v>
      </c>
      <c r="H191" s="1">
        <v>242.5</v>
      </c>
      <c r="I191" s="1">
        <v>1400</v>
      </c>
      <c r="J191" s="1">
        <v>1157.5</v>
      </c>
      <c r="K191" s="1">
        <v>2880.8333333333335</v>
      </c>
      <c r="L191" s="1">
        <v>3790</v>
      </c>
      <c r="M191" s="1">
        <v>909.16666666666652</v>
      </c>
      <c r="N191" s="1">
        <v>2316.6666666666665</v>
      </c>
      <c r="O191" s="1">
        <v>12500</v>
      </c>
      <c r="P191" s="1">
        <v>4027.0116666666654</v>
      </c>
      <c r="Q191" s="1">
        <v>1710.3449999999989</v>
      </c>
      <c r="R191">
        <f>YEAR(tbl_daily[[#This Row],[Date]])</f>
        <v>2023</v>
      </c>
      <c r="S191" t="str">
        <f>TEXT(tbl_daily[[#This Row],[Date]],"mmmm")</f>
        <v>June</v>
      </c>
      <c r="T191">
        <f>MONTH(tbl_daily[[#This Row],[Date]])</f>
        <v>6</v>
      </c>
      <c r="U191" t="str">
        <f>"Q"&amp;ROUNDUP(MONTH(tbl_daily[[#This Row],[Date]])/3,0)</f>
        <v>Q2</v>
      </c>
      <c r="V191" t="str">
        <f>TEXT(tbl_daily[[#This Row],[Date]],"dddd")</f>
        <v>Wednesday</v>
      </c>
      <c r="W191" t="str">
        <f t="shared" si="6"/>
        <v>Profitable</v>
      </c>
      <c r="X191">
        <f t="shared" si="7"/>
        <v>32.216093333333326</v>
      </c>
      <c r="Y191">
        <f t="shared" si="8"/>
        <v>13.682759999999991</v>
      </c>
    </row>
    <row r="192" spans="1:25">
      <c r="A192" s="3">
        <v>45092</v>
      </c>
      <c r="B192" s="1">
        <v>5531.2849999999999</v>
      </c>
      <c r="C192" s="1">
        <v>6010</v>
      </c>
      <c r="D192" s="1">
        <v>478.71500000000015</v>
      </c>
      <c r="E192" s="1">
        <v>1245.5499999999995</v>
      </c>
      <c r="F192" s="1">
        <v>1200</v>
      </c>
      <c r="G192" s="1">
        <v>-45.549999999999727</v>
      </c>
      <c r="H192" s="1">
        <v>105</v>
      </c>
      <c r="I192" s="1">
        <v>900</v>
      </c>
      <c r="J192" s="1">
        <v>795</v>
      </c>
      <c r="K192" s="1">
        <v>1988.3333333333333</v>
      </c>
      <c r="L192" s="1">
        <v>2720</v>
      </c>
      <c r="M192" s="1">
        <v>731.66666666666674</v>
      </c>
      <c r="N192" s="1">
        <v>2316.6666666666665</v>
      </c>
      <c r="O192" s="1">
        <v>10830</v>
      </c>
      <c r="P192" s="1">
        <v>1959.8316666666672</v>
      </c>
      <c r="Q192" s="1">
        <v>-356.83499999999935</v>
      </c>
      <c r="R192">
        <f>YEAR(tbl_daily[[#This Row],[Date]])</f>
        <v>2023</v>
      </c>
      <c r="S192" t="str">
        <f>TEXT(tbl_daily[[#This Row],[Date]],"mmmm")</f>
        <v>June</v>
      </c>
      <c r="T192">
        <f>MONTH(tbl_daily[[#This Row],[Date]])</f>
        <v>6</v>
      </c>
      <c r="U192" t="str">
        <f>"Q"&amp;ROUNDUP(MONTH(tbl_daily[[#This Row],[Date]])/3,0)</f>
        <v>Q2</v>
      </c>
      <c r="V192" t="str">
        <f>TEXT(tbl_daily[[#This Row],[Date]],"dddd")</f>
        <v>Thursday</v>
      </c>
      <c r="W192" t="str">
        <f t="shared" si="6"/>
        <v>Loss</v>
      </c>
      <c r="X192">
        <f t="shared" si="7"/>
        <v>18.096321945213916</v>
      </c>
      <c r="Y192">
        <f t="shared" si="8"/>
        <v>-3.2948753462603819</v>
      </c>
    </row>
    <row r="193" spans="1:25">
      <c r="A193" s="3">
        <v>45093</v>
      </c>
      <c r="B193" s="1">
        <v>4756.7749999999987</v>
      </c>
      <c r="C193" s="1">
        <v>6010</v>
      </c>
      <c r="D193" s="1">
        <v>1253.2250000000013</v>
      </c>
      <c r="E193" s="1">
        <v>1174.8499999999999</v>
      </c>
      <c r="F193" s="1">
        <v>1800</v>
      </c>
      <c r="G193" s="1">
        <v>625.15000000000009</v>
      </c>
      <c r="H193" s="1">
        <v>105</v>
      </c>
      <c r="I193" s="1">
        <v>900</v>
      </c>
      <c r="J193" s="1">
        <v>795</v>
      </c>
      <c r="K193" s="1">
        <v>2320</v>
      </c>
      <c r="L193" s="1">
        <v>3180</v>
      </c>
      <c r="M193" s="1">
        <v>860</v>
      </c>
      <c r="N193" s="1">
        <v>2316.6666666666665</v>
      </c>
      <c r="O193" s="1">
        <v>11890</v>
      </c>
      <c r="P193" s="1">
        <v>3533.3750000000018</v>
      </c>
      <c r="Q193" s="1">
        <v>1216.7083333333348</v>
      </c>
      <c r="R193">
        <f>YEAR(tbl_daily[[#This Row],[Date]])</f>
        <v>2023</v>
      </c>
      <c r="S193" t="str">
        <f>TEXT(tbl_daily[[#This Row],[Date]],"mmmm")</f>
        <v>June</v>
      </c>
      <c r="T193">
        <f>MONTH(tbl_daily[[#This Row],[Date]])</f>
        <v>6</v>
      </c>
      <c r="U193" t="str">
        <f>"Q"&amp;ROUNDUP(MONTH(tbl_daily[[#This Row],[Date]])/3,0)</f>
        <v>Q2</v>
      </c>
      <c r="V193" t="str">
        <f>TEXT(tbl_daily[[#This Row],[Date]],"dddd")</f>
        <v>Friday</v>
      </c>
      <c r="W193" t="str">
        <f t="shared" si="6"/>
        <v>Profitable</v>
      </c>
      <c r="X193">
        <f t="shared" si="7"/>
        <v>29.717199327165702</v>
      </c>
      <c r="Y193">
        <f t="shared" si="8"/>
        <v>10.233038968320731</v>
      </c>
    </row>
    <row r="194" spans="1:25">
      <c r="A194" s="3">
        <v>45094</v>
      </c>
      <c r="B194" s="1">
        <v>4756.7749999999987</v>
      </c>
      <c r="C194" s="1">
        <v>5780</v>
      </c>
      <c r="D194" s="1">
        <v>1023.2250000000012</v>
      </c>
      <c r="E194" s="1">
        <v>1174.8499999999999</v>
      </c>
      <c r="F194" s="1">
        <v>1800</v>
      </c>
      <c r="G194" s="1">
        <v>625.15000000000009</v>
      </c>
      <c r="H194" s="1">
        <v>105</v>
      </c>
      <c r="I194" s="1">
        <v>900</v>
      </c>
      <c r="J194" s="1">
        <v>795</v>
      </c>
      <c r="K194" s="1">
        <v>2320</v>
      </c>
      <c r="L194" s="1">
        <v>3180</v>
      </c>
      <c r="M194" s="1">
        <v>860</v>
      </c>
      <c r="N194" s="1">
        <v>2316.6666666666665</v>
      </c>
      <c r="O194" s="1">
        <v>11660</v>
      </c>
      <c r="P194" s="1">
        <v>3303.3750000000018</v>
      </c>
      <c r="Q194" s="1">
        <v>986.70833333333485</v>
      </c>
      <c r="R194">
        <f>YEAR(tbl_daily[[#This Row],[Date]])</f>
        <v>2023</v>
      </c>
      <c r="S194" t="str">
        <f>TEXT(tbl_daily[[#This Row],[Date]],"mmmm")</f>
        <v>June</v>
      </c>
      <c r="T194">
        <f>MONTH(tbl_daily[[#This Row],[Date]])</f>
        <v>6</v>
      </c>
      <c r="U194" t="str">
        <f>"Q"&amp;ROUNDUP(MONTH(tbl_daily[[#This Row],[Date]])/3,0)</f>
        <v>Q2</v>
      </c>
      <c r="V194" t="str">
        <f>TEXT(tbl_daily[[#This Row],[Date]],"dddd")</f>
        <v>Saturday</v>
      </c>
      <c r="W194" t="str">
        <f t="shared" ref="W194:W257" si="9">IF(Q194&gt;0,"Profitable",IF(Q194&lt;0,"Loss","Break-even"))</f>
        <v>Profitable</v>
      </c>
      <c r="X194">
        <f t="shared" ref="X194:X257" si="10">IFERROR(P194/O194 *100,0)</f>
        <v>28.330831903945125</v>
      </c>
      <c r="Y194">
        <f t="shared" ref="Y194:Y257" si="11">IFERROR(Q194/O194 *100,0)</f>
        <v>8.4623356203545015</v>
      </c>
    </row>
    <row r="195" spans="1:25">
      <c r="A195" s="3">
        <v>45095</v>
      </c>
      <c r="B195" s="1">
        <v>4799.6900000000005</v>
      </c>
      <c r="C195" s="1">
        <v>5220</v>
      </c>
      <c r="D195" s="1">
        <v>420.30999999999955</v>
      </c>
      <c r="E195" s="1">
        <v>2230.9</v>
      </c>
      <c r="F195" s="1">
        <v>3600</v>
      </c>
      <c r="G195" s="1">
        <v>1369.1</v>
      </c>
      <c r="H195" s="1">
        <v>198</v>
      </c>
      <c r="I195" s="1">
        <v>1850</v>
      </c>
      <c r="J195" s="1">
        <v>1652</v>
      </c>
      <c r="K195" s="1">
        <v>2649.1666666666665</v>
      </c>
      <c r="L195" s="1">
        <v>3180</v>
      </c>
      <c r="M195" s="1">
        <v>530.83333333333348</v>
      </c>
      <c r="N195" s="1">
        <v>2316.6666666666665</v>
      </c>
      <c r="O195" s="1">
        <v>13850</v>
      </c>
      <c r="P195" s="1">
        <v>3972.2433333333329</v>
      </c>
      <c r="Q195" s="1">
        <v>1655.5766666666664</v>
      </c>
      <c r="R195">
        <f>YEAR(tbl_daily[[#This Row],[Date]])</f>
        <v>2023</v>
      </c>
      <c r="S195" t="str">
        <f>TEXT(tbl_daily[[#This Row],[Date]],"mmmm")</f>
        <v>June</v>
      </c>
      <c r="T195">
        <f>MONTH(tbl_daily[[#This Row],[Date]])</f>
        <v>6</v>
      </c>
      <c r="U195" t="str">
        <f>"Q"&amp;ROUNDUP(MONTH(tbl_daily[[#This Row],[Date]])/3,0)</f>
        <v>Q2</v>
      </c>
      <c r="V195" t="str">
        <f>TEXT(tbl_daily[[#This Row],[Date]],"dddd")</f>
        <v>Sunday</v>
      </c>
      <c r="W195" t="str">
        <f t="shared" si="9"/>
        <v>Profitable</v>
      </c>
      <c r="X195">
        <f t="shared" si="10"/>
        <v>28.680457280385074</v>
      </c>
      <c r="Y195">
        <f t="shared" si="11"/>
        <v>11.953622141997592</v>
      </c>
    </row>
    <row r="196" spans="1:25">
      <c r="A196" s="3">
        <v>45096</v>
      </c>
      <c r="B196" s="1">
        <v>4053.7600000000007</v>
      </c>
      <c r="C196" s="1">
        <v>4825</v>
      </c>
      <c r="D196" s="1">
        <v>771.23999999999933</v>
      </c>
      <c r="E196" s="1">
        <v>730.19999999999982</v>
      </c>
      <c r="F196" s="1">
        <v>1200</v>
      </c>
      <c r="G196" s="1">
        <v>469.80000000000018</v>
      </c>
      <c r="H196" s="1">
        <v>172.5</v>
      </c>
      <c r="I196" s="1">
        <v>250</v>
      </c>
      <c r="J196" s="1">
        <v>77.5</v>
      </c>
      <c r="K196" s="1">
        <v>2295.833333333333</v>
      </c>
      <c r="L196" s="1">
        <v>3100</v>
      </c>
      <c r="M196" s="1">
        <v>804.16666666666708</v>
      </c>
      <c r="N196" s="1">
        <v>2316.6666666666665</v>
      </c>
      <c r="O196" s="1">
        <v>9375</v>
      </c>
      <c r="P196" s="1">
        <v>2122.7066666666665</v>
      </c>
      <c r="Q196" s="1">
        <v>-193.96000000000004</v>
      </c>
      <c r="R196">
        <f>YEAR(tbl_daily[[#This Row],[Date]])</f>
        <v>2023</v>
      </c>
      <c r="S196" t="str">
        <f>TEXT(tbl_daily[[#This Row],[Date]],"mmmm")</f>
        <v>June</v>
      </c>
      <c r="T196">
        <f>MONTH(tbl_daily[[#This Row],[Date]])</f>
        <v>6</v>
      </c>
      <c r="U196" t="str">
        <f>"Q"&amp;ROUNDUP(MONTH(tbl_daily[[#This Row],[Date]])/3,0)</f>
        <v>Q2</v>
      </c>
      <c r="V196" t="str">
        <f>TEXT(tbl_daily[[#This Row],[Date]],"dddd")</f>
        <v>Monday</v>
      </c>
      <c r="W196" t="str">
        <f t="shared" si="9"/>
        <v>Loss</v>
      </c>
      <c r="X196">
        <f t="shared" si="10"/>
        <v>22.642204444444442</v>
      </c>
      <c r="Y196">
        <f t="shared" si="11"/>
        <v>-2.0689066666666673</v>
      </c>
    </row>
    <row r="197" spans="1:25">
      <c r="A197" s="3">
        <v>45097</v>
      </c>
      <c r="B197" s="1">
        <v>6165.8000000000011</v>
      </c>
      <c r="C197" s="1">
        <v>4050</v>
      </c>
      <c r="D197" s="1">
        <v>-2115.8000000000011</v>
      </c>
      <c r="E197" s="1">
        <v>1901.5999999999997</v>
      </c>
      <c r="F197" s="1">
        <v>3600</v>
      </c>
      <c r="G197" s="1">
        <v>1698.4000000000003</v>
      </c>
      <c r="H197" s="1">
        <v>0</v>
      </c>
      <c r="I197" s="1">
        <v>0</v>
      </c>
      <c r="J197" s="1">
        <v>0</v>
      </c>
      <c r="K197" s="1">
        <v>2675</v>
      </c>
      <c r="L197" s="1">
        <v>3590</v>
      </c>
      <c r="M197" s="1">
        <v>915</v>
      </c>
      <c r="N197" s="1">
        <v>2316.6666666666665</v>
      </c>
      <c r="O197" s="1">
        <v>11240</v>
      </c>
      <c r="P197" s="1">
        <v>497.59999999999923</v>
      </c>
      <c r="Q197" s="1">
        <v>-1819.0666666666673</v>
      </c>
      <c r="R197">
        <f>YEAR(tbl_daily[[#This Row],[Date]])</f>
        <v>2023</v>
      </c>
      <c r="S197" t="str">
        <f>TEXT(tbl_daily[[#This Row],[Date]],"mmmm")</f>
        <v>June</v>
      </c>
      <c r="T197">
        <f>MONTH(tbl_daily[[#This Row],[Date]])</f>
        <v>6</v>
      </c>
      <c r="U197" t="str">
        <f>"Q"&amp;ROUNDUP(MONTH(tbl_daily[[#This Row],[Date]])/3,0)</f>
        <v>Q2</v>
      </c>
      <c r="V197" t="str">
        <f>TEXT(tbl_daily[[#This Row],[Date]],"dddd")</f>
        <v>Tuesday</v>
      </c>
      <c r="W197" t="str">
        <f t="shared" si="9"/>
        <v>Loss</v>
      </c>
      <c r="X197">
        <f t="shared" si="10"/>
        <v>4.427046263345189</v>
      </c>
      <c r="Y197">
        <f t="shared" si="11"/>
        <v>-16.183867141162519</v>
      </c>
    </row>
    <row r="198" spans="1:25">
      <c r="A198" s="3">
        <v>45098</v>
      </c>
      <c r="B198" s="1">
        <v>3148.9250000000011</v>
      </c>
      <c r="C198" s="1">
        <v>4780</v>
      </c>
      <c r="D198" s="1">
        <v>1631.0749999999989</v>
      </c>
      <c r="E198" s="1">
        <v>1622.5</v>
      </c>
      <c r="F198" s="1">
        <v>3000</v>
      </c>
      <c r="G198" s="1">
        <v>1377.5</v>
      </c>
      <c r="H198" s="1">
        <v>0</v>
      </c>
      <c r="I198" s="1">
        <v>0</v>
      </c>
      <c r="J198" s="1">
        <v>0</v>
      </c>
      <c r="K198" s="1">
        <v>2855</v>
      </c>
      <c r="L198" s="1">
        <v>4000</v>
      </c>
      <c r="M198" s="1">
        <v>1145</v>
      </c>
      <c r="N198" s="1">
        <v>2316.6666666666665</v>
      </c>
      <c r="O198" s="1">
        <v>11780</v>
      </c>
      <c r="P198" s="1">
        <v>4153.5749999999989</v>
      </c>
      <c r="Q198" s="1">
        <v>1836.9083333333324</v>
      </c>
      <c r="R198">
        <f>YEAR(tbl_daily[[#This Row],[Date]])</f>
        <v>2023</v>
      </c>
      <c r="S198" t="str">
        <f>TEXT(tbl_daily[[#This Row],[Date]],"mmmm")</f>
        <v>June</v>
      </c>
      <c r="T198">
        <f>MONTH(tbl_daily[[#This Row],[Date]])</f>
        <v>6</v>
      </c>
      <c r="U198" t="str">
        <f>"Q"&amp;ROUNDUP(MONTH(tbl_daily[[#This Row],[Date]])/3,0)</f>
        <v>Q2</v>
      </c>
      <c r="V198" t="str">
        <f>TEXT(tbl_daily[[#This Row],[Date]],"dddd")</f>
        <v>Wednesday</v>
      </c>
      <c r="W198" t="str">
        <f t="shared" si="9"/>
        <v>Profitable</v>
      </c>
      <c r="X198">
        <f t="shared" si="10"/>
        <v>35.259550084889632</v>
      </c>
      <c r="Y198">
        <f t="shared" si="11"/>
        <v>15.593449349179393</v>
      </c>
    </row>
    <row r="199" spans="1:25">
      <c r="A199" s="3">
        <v>45099</v>
      </c>
      <c r="B199" s="1">
        <v>4194.6550000000016</v>
      </c>
      <c r="C199" s="1">
        <v>3560</v>
      </c>
      <c r="D199" s="1">
        <v>-634.65500000000156</v>
      </c>
      <c r="E199" s="1">
        <v>1052.7</v>
      </c>
      <c r="F199" s="1">
        <v>4500</v>
      </c>
      <c r="G199" s="1">
        <v>3447.3</v>
      </c>
      <c r="H199" s="1">
        <v>0</v>
      </c>
      <c r="I199" s="1">
        <v>0</v>
      </c>
      <c r="J199" s="1">
        <v>0</v>
      </c>
      <c r="K199" s="1">
        <v>2716.666666666667</v>
      </c>
      <c r="L199" s="1">
        <v>3740</v>
      </c>
      <c r="M199" s="1">
        <v>1023.333333333333</v>
      </c>
      <c r="N199" s="1">
        <v>2316.6666666666665</v>
      </c>
      <c r="O199" s="1">
        <v>11800</v>
      </c>
      <c r="P199" s="1">
        <v>3835.9783333333312</v>
      </c>
      <c r="Q199" s="1">
        <v>1519.3116666666651</v>
      </c>
      <c r="R199">
        <f>YEAR(tbl_daily[[#This Row],[Date]])</f>
        <v>2023</v>
      </c>
      <c r="S199" t="str">
        <f>TEXT(tbl_daily[[#This Row],[Date]],"mmmm")</f>
        <v>June</v>
      </c>
      <c r="T199">
        <f>MONTH(tbl_daily[[#This Row],[Date]])</f>
        <v>6</v>
      </c>
      <c r="U199" t="str">
        <f>"Q"&amp;ROUNDUP(MONTH(tbl_daily[[#This Row],[Date]])/3,0)</f>
        <v>Q2</v>
      </c>
      <c r="V199" t="str">
        <f>TEXT(tbl_daily[[#This Row],[Date]],"dddd")</f>
        <v>Thursday</v>
      </c>
      <c r="W199" t="str">
        <f t="shared" si="9"/>
        <v>Profitable</v>
      </c>
      <c r="X199">
        <f t="shared" si="10"/>
        <v>32.508290960451959</v>
      </c>
      <c r="Y199">
        <f t="shared" si="11"/>
        <v>12.875522598870043</v>
      </c>
    </row>
    <row r="200" spans="1:25">
      <c r="A200" s="3">
        <v>45100</v>
      </c>
      <c r="B200" s="1">
        <v>5192.49</v>
      </c>
      <c r="C200" s="1">
        <v>8750</v>
      </c>
      <c r="D200" s="1">
        <v>3557.51</v>
      </c>
      <c r="E200" s="1">
        <v>2911.3</v>
      </c>
      <c r="F200" s="1">
        <v>3900</v>
      </c>
      <c r="G200" s="1">
        <v>988.69999999999982</v>
      </c>
      <c r="H200" s="1">
        <v>0</v>
      </c>
      <c r="I200" s="1">
        <v>600</v>
      </c>
      <c r="J200" s="1">
        <v>600</v>
      </c>
      <c r="K200" s="1">
        <v>2739.1666666666665</v>
      </c>
      <c r="L200" s="1">
        <v>3830</v>
      </c>
      <c r="M200" s="1">
        <v>1090.8333333333337</v>
      </c>
      <c r="N200" s="1">
        <v>2316.6666666666665</v>
      </c>
      <c r="O200" s="1">
        <v>17080</v>
      </c>
      <c r="P200" s="1">
        <v>6237.0433333333331</v>
      </c>
      <c r="Q200" s="1">
        <v>3920.3766666666666</v>
      </c>
      <c r="R200">
        <f>YEAR(tbl_daily[[#This Row],[Date]])</f>
        <v>2023</v>
      </c>
      <c r="S200" t="str">
        <f>TEXT(tbl_daily[[#This Row],[Date]],"mmmm")</f>
        <v>June</v>
      </c>
      <c r="T200">
        <f>MONTH(tbl_daily[[#This Row],[Date]])</f>
        <v>6</v>
      </c>
      <c r="U200" t="str">
        <f>"Q"&amp;ROUNDUP(MONTH(tbl_daily[[#This Row],[Date]])/3,0)</f>
        <v>Q2</v>
      </c>
      <c r="V200" t="str">
        <f>TEXT(tbl_daily[[#This Row],[Date]],"dddd")</f>
        <v>Friday</v>
      </c>
      <c r="W200" t="str">
        <f t="shared" si="9"/>
        <v>Profitable</v>
      </c>
      <c r="X200">
        <f t="shared" si="10"/>
        <v>36.516647150663545</v>
      </c>
      <c r="Y200">
        <f t="shared" si="11"/>
        <v>22.953024980483995</v>
      </c>
    </row>
    <row r="201" spans="1:25">
      <c r="A201" s="3">
        <v>45101</v>
      </c>
      <c r="B201" s="1">
        <v>6392.0450000000019</v>
      </c>
      <c r="C201" s="1">
        <v>6580</v>
      </c>
      <c r="D201" s="1">
        <v>187.95499999999811</v>
      </c>
      <c r="E201" s="1">
        <v>2442.4</v>
      </c>
      <c r="F201" s="1">
        <v>4500</v>
      </c>
      <c r="G201" s="1">
        <v>2057.6</v>
      </c>
      <c r="H201" s="1">
        <v>312.5</v>
      </c>
      <c r="I201" s="1">
        <v>1550</v>
      </c>
      <c r="J201" s="1">
        <v>1237.5</v>
      </c>
      <c r="K201" s="1">
        <v>3041.6666666666665</v>
      </c>
      <c r="L201" s="1">
        <v>4090</v>
      </c>
      <c r="M201" s="1">
        <v>1048.3333333333337</v>
      </c>
      <c r="N201" s="1">
        <v>2316.6666666666665</v>
      </c>
      <c r="O201" s="1">
        <v>16720</v>
      </c>
      <c r="P201" s="1">
        <v>4531.3883333333315</v>
      </c>
      <c r="Q201" s="1">
        <v>2214.721666666665</v>
      </c>
      <c r="R201">
        <f>YEAR(tbl_daily[[#This Row],[Date]])</f>
        <v>2023</v>
      </c>
      <c r="S201" t="str">
        <f>TEXT(tbl_daily[[#This Row],[Date]],"mmmm")</f>
        <v>June</v>
      </c>
      <c r="T201">
        <f>MONTH(tbl_daily[[#This Row],[Date]])</f>
        <v>6</v>
      </c>
      <c r="U201" t="str">
        <f>"Q"&amp;ROUNDUP(MONTH(tbl_daily[[#This Row],[Date]])/3,0)</f>
        <v>Q2</v>
      </c>
      <c r="V201" t="str">
        <f>TEXT(tbl_daily[[#This Row],[Date]],"dddd")</f>
        <v>Saturday</v>
      </c>
      <c r="W201" t="str">
        <f t="shared" si="9"/>
        <v>Profitable</v>
      </c>
      <c r="X201">
        <f t="shared" si="10"/>
        <v>27.101604864433799</v>
      </c>
      <c r="Y201">
        <f t="shared" si="11"/>
        <v>13.24594298245613</v>
      </c>
    </row>
    <row r="202" spans="1:25">
      <c r="A202" s="3">
        <v>45102</v>
      </c>
      <c r="B202" s="1">
        <v>5559.704999999999</v>
      </c>
      <c r="C202" s="1">
        <v>7690</v>
      </c>
      <c r="D202" s="1">
        <v>2130.295000000001</v>
      </c>
      <c r="E202" s="1">
        <v>3864.1750000000006</v>
      </c>
      <c r="F202" s="1">
        <v>4800</v>
      </c>
      <c r="G202" s="1">
        <v>935.82499999999891</v>
      </c>
      <c r="H202" s="1">
        <v>955.43000000000006</v>
      </c>
      <c r="I202" s="1">
        <v>3550</v>
      </c>
      <c r="J202" s="1">
        <v>2594.5699999999997</v>
      </c>
      <c r="K202" s="1">
        <v>3759.166666666667</v>
      </c>
      <c r="L202" s="1">
        <v>4880</v>
      </c>
      <c r="M202" s="1">
        <v>1120.833333333333</v>
      </c>
      <c r="N202" s="1">
        <v>2316.6666666666665</v>
      </c>
      <c r="O202" s="1">
        <v>20920</v>
      </c>
      <c r="P202" s="1">
        <v>6781.5233333333326</v>
      </c>
      <c r="Q202" s="1">
        <v>4464.8566666666666</v>
      </c>
      <c r="R202">
        <f>YEAR(tbl_daily[[#This Row],[Date]])</f>
        <v>2023</v>
      </c>
      <c r="S202" t="str">
        <f>TEXT(tbl_daily[[#This Row],[Date]],"mmmm")</f>
        <v>June</v>
      </c>
      <c r="T202">
        <f>MONTH(tbl_daily[[#This Row],[Date]])</f>
        <v>6</v>
      </c>
      <c r="U202" t="str">
        <f>"Q"&amp;ROUNDUP(MONTH(tbl_daily[[#This Row],[Date]])/3,0)</f>
        <v>Q2</v>
      </c>
      <c r="V202" t="str">
        <f>TEXT(tbl_daily[[#This Row],[Date]],"dddd")</f>
        <v>Sunday</v>
      </c>
      <c r="W202" t="str">
        <f t="shared" si="9"/>
        <v>Profitable</v>
      </c>
      <c r="X202">
        <f t="shared" si="10"/>
        <v>32.416459528362012</v>
      </c>
      <c r="Y202">
        <f t="shared" si="11"/>
        <v>21.342527087316761</v>
      </c>
    </row>
    <row r="203" spans="1:25">
      <c r="A203" s="3">
        <v>45103</v>
      </c>
      <c r="B203" s="1">
        <v>6336.9549999999999</v>
      </c>
      <c r="C203" s="1">
        <v>5730</v>
      </c>
      <c r="D203" s="1">
        <v>-606.95499999999993</v>
      </c>
      <c r="E203" s="1">
        <v>2152.4250000000002</v>
      </c>
      <c r="F203" s="1">
        <v>2700</v>
      </c>
      <c r="G203" s="1">
        <v>547.57499999999982</v>
      </c>
      <c r="H203" s="1">
        <v>684.18000000000006</v>
      </c>
      <c r="I203" s="1">
        <v>2150</v>
      </c>
      <c r="J203" s="1">
        <v>1465.82</v>
      </c>
      <c r="K203" s="1">
        <v>2539.166666666667</v>
      </c>
      <c r="L203" s="1">
        <v>3190</v>
      </c>
      <c r="M203" s="1">
        <v>650.83333333333303</v>
      </c>
      <c r="N203" s="1">
        <v>2316.6666666666665</v>
      </c>
      <c r="O203" s="1">
        <v>13770</v>
      </c>
      <c r="P203" s="1">
        <v>2057.2733333333326</v>
      </c>
      <c r="Q203" s="1">
        <v>-259.39333333333389</v>
      </c>
      <c r="R203">
        <f>YEAR(tbl_daily[[#This Row],[Date]])</f>
        <v>2023</v>
      </c>
      <c r="S203" t="str">
        <f>TEXT(tbl_daily[[#This Row],[Date]],"mmmm")</f>
        <v>June</v>
      </c>
      <c r="T203">
        <f>MONTH(tbl_daily[[#This Row],[Date]])</f>
        <v>6</v>
      </c>
      <c r="U203" t="str">
        <f>"Q"&amp;ROUNDUP(MONTH(tbl_daily[[#This Row],[Date]])/3,0)</f>
        <v>Q2</v>
      </c>
      <c r="V203" t="str">
        <f>TEXT(tbl_daily[[#This Row],[Date]],"dddd")</f>
        <v>Monday</v>
      </c>
      <c r="W203" t="str">
        <f t="shared" si="9"/>
        <v>Loss</v>
      </c>
      <c r="X203">
        <f t="shared" si="10"/>
        <v>14.940256596465742</v>
      </c>
      <c r="Y203">
        <f t="shared" si="11"/>
        <v>-1.8837569595739572</v>
      </c>
    </row>
    <row r="204" spans="1:25">
      <c r="A204" s="3">
        <v>45104</v>
      </c>
      <c r="B204" s="1">
        <v>4842.0449999999992</v>
      </c>
      <c r="C204" s="1">
        <v>5730</v>
      </c>
      <c r="D204" s="1">
        <v>887.95500000000084</v>
      </c>
      <c r="E204" s="1">
        <v>1159.1500000000001</v>
      </c>
      <c r="F204" s="1">
        <v>1800</v>
      </c>
      <c r="G204" s="1">
        <v>640.85000000000014</v>
      </c>
      <c r="H204" s="1">
        <v>370.93</v>
      </c>
      <c r="I204" s="1">
        <v>1100</v>
      </c>
      <c r="J204" s="1">
        <v>729.06999999999994</v>
      </c>
      <c r="K204" s="1">
        <v>2797.5</v>
      </c>
      <c r="L204" s="1">
        <v>3730</v>
      </c>
      <c r="M204" s="1">
        <v>932.5</v>
      </c>
      <c r="N204" s="1">
        <v>2316.6666666666665</v>
      </c>
      <c r="O204" s="1">
        <v>12360</v>
      </c>
      <c r="P204" s="1">
        <v>3190.3750000000009</v>
      </c>
      <c r="Q204" s="1">
        <v>873.70833333333439</v>
      </c>
      <c r="R204">
        <f>YEAR(tbl_daily[[#This Row],[Date]])</f>
        <v>2023</v>
      </c>
      <c r="S204" t="str">
        <f>TEXT(tbl_daily[[#This Row],[Date]],"mmmm")</f>
        <v>June</v>
      </c>
      <c r="T204">
        <f>MONTH(tbl_daily[[#This Row],[Date]])</f>
        <v>6</v>
      </c>
      <c r="U204" t="str">
        <f>"Q"&amp;ROUNDUP(MONTH(tbl_daily[[#This Row],[Date]])/3,0)</f>
        <v>Q2</v>
      </c>
      <c r="V204" t="str">
        <f>TEXT(tbl_daily[[#This Row],[Date]],"dddd")</f>
        <v>Tuesday</v>
      </c>
      <c r="W204" t="str">
        <f t="shared" si="9"/>
        <v>Profitable</v>
      </c>
      <c r="X204">
        <f t="shared" si="10"/>
        <v>25.81209546925567</v>
      </c>
      <c r="Y204">
        <f t="shared" si="11"/>
        <v>7.068837648327948</v>
      </c>
    </row>
    <row r="205" spans="1:25">
      <c r="A205" s="3">
        <v>45105</v>
      </c>
      <c r="B205" s="1">
        <v>6907.8049999999994</v>
      </c>
      <c r="C205" s="1">
        <v>9600</v>
      </c>
      <c r="D205" s="1">
        <v>2692.1950000000006</v>
      </c>
      <c r="E205" s="1">
        <v>3285.85</v>
      </c>
      <c r="F205" s="1">
        <v>4800</v>
      </c>
      <c r="G205" s="1">
        <v>1514.15</v>
      </c>
      <c r="H205" s="1">
        <v>331.56000000000006</v>
      </c>
      <c r="I205" s="1">
        <v>1350</v>
      </c>
      <c r="J205" s="1">
        <v>1018.4399999999999</v>
      </c>
      <c r="K205" s="1">
        <v>3390.833333333333</v>
      </c>
      <c r="L205" s="1">
        <v>3950</v>
      </c>
      <c r="M205" s="1">
        <v>559.16666666666697</v>
      </c>
      <c r="N205" s="1">
        <v>2316.6666666666665</v>
      </c>
      <c r="O205" s="1">
        <v>19700</v>
      </c>
      <c r="P205" s="1">
        <v>5783.9516666666677</v>
      </c>
      <c r="Q205" s="1">
        <v>3467.2850000000012</v>
      </c>
      <c r="R205">
        <f>YEAR(tbl_daily[[#This Row],[Date]])</f>
        <v>2023</v>
      </c>
      <c r="S205" t="str">
        <f>TEXT(tbl_daily[[#This Row],[Date]],"mmmm")</f>
        <v>June</v>
      </c>
      <c r="T205">
        <f>MONTH(tbl_daily[[#This Row],[Date]])</f>
        <v>6</v>
      </c>
      <c r="U205" t="str">
        <f>"Q"&amp;ROUNDUP(MONTH(tbl_daily[[#This Row],[Date]])/3,0)</f>
        <v>Q2</v>
      </c>
      <c r="V205" t="str">
        <f>TEXT(tbl_daily[[#This Row],[Date]],"dddd")</f>
        <v>Wednesday</v>
      </c>
      <c r="W205" t="str">
        <f t="shared" si="9"/>
        <v>Profitable</v>
      </c>
      <c r="X205">
        <f t="shared" si="10"/>
        <v>29.360160744500853</v>
      </c>
      <c r="Y205">
        <f t="shared" si="11"/>
        <v>17.600431472081222</v>
      </c>
    </row>
    <row r="206" spans="1:25">
      <c r="A206" s="3">
        <v>45106</v>
      </c>
      <c r="B206" s="1">
        <v>5663.55</v>
      </c>
      <c r="C206" s="1">
        <v>8840</v>
      </c>
      <c r="D206" s="1">
        <v>3176.45</v>
      </c>
      <c r="E206" s="1">
        <v>2058.7999999999997</v>
      </c>
      <c r="F206" s="1">
        <v>3600</v>
      </c>
      <c r="G206" s="1">
        <v>1541.2000000000005</v>
      </c>
      <c r="H206" s="1">
        <v>194.06000000000003</v>
      </c>
      <c r="I206" s="1">
        <v>1350</v>
      </c>
      <c r="J206" s="1">
        <v>1155.94</v>
      </c>
      <c r="K206" s="1">
        <v>5109.166666666667</v>
      </c>
      <c r="L206" s="1">
        <v>6680</v>
      </c>
      <c r="M206" s="1">
        <v>1570.833333333333</v>
      </c>
      <c r="N206" s="1">
        <v>2316.6666666666665</v>
      </c>
      <c r="O206" s="1">
        <v>20470</v>
      </c>
      <c r="P206" s="1">
        <v>7444.4233333333332</v>
      </c>
      <c r="Q206" s="1">
        <v>5127.7566666666662</v>
      </c>
      <c r="R206">
        <f>YEAR(tbl_daily[[#This Row],[Date]])</f>
        <v>2023</v>
      </c>
      <c r="S206" t="str">
        <f>TEXT(tbl_daily[[#This Row],[Date]],"mmmm")</f>
        <v>June</v>
      </c>
      <c r="T206">
        <f>MONTH(tbl_daily[[#This Row],[Date]])</f>
        <v>6</v>
      </c>
      <c r="U206" t="str">
        <f>"Q"&amp;ROUNDUP(MONTH(tbl_daily[[#This Row],[Date]])/3,0)</f>
        <v>Q2</v>
      </c>
      <c r="V206" t="str">
        <f>TEXT(tbl_daily[[#This Row],[Date]],"dddd")</f>
        <v>Thursday</v>
      </c>
      <c r="W206" t="str">
        <f t="shared" si="9"/>
        <v>Profitable</v>
      </c>
      <c r="X206">
        <f t="shared" si="10"/>
        <v>36.367480866308419</v>
      </c>
      <c r="Y206">
        <f t="shared" si="11"/>
        <v>25.050105845953425</v>
      </c>
    </row>
    <row r="207" spans="1:25">
      <c r="A207" s="3">
        <v>45107</v>
      </c>
      <c r="B207" s="1">
        <v>7356.9800000000014</v>
      </c>
      <c r="C207" s="1">
        <v>9160</v>
      </c>
      <c r="D207" s="1">
        <v>1803.0199999999984</v>
      </c>
      <c r="E207" s="1">
        <v>2370.9</v>
      </c>
      <c r="F207" s="1">
        <v>4200</v>
      </c>
      <c r="G207" s="1">
        <v>1829.1</v>
      </c>
      <c r="H207" s="1">
        <v>149.61000000000001</v>
      </c>
      <c r="I207" s="1">
        <v>600</v>
      </c>
      <c r="J207" s="1">
        <v>450.39</v>
      </c>
      <c r="K207" s="1">
        <v>3076.6666666666665</v>
      </c>
      <c r="L207" s="1">
        <v>4050</v>
      </c>
      <c r="M207" s="1">
        <v>973.33333333333348</v>
      </c>
      <c r="N207" s="1">
        <v>2316.6666666666665</v>
      </c>
      <c r="O207" s="1">
        <v>18010</v>
      </c>
      <c r="P207" s="1">
        <v>5055.8433333333323</v>
      </c>
      <c r="Q207" s="1">
        <v>2739.1766666666658</v>
      </c>
      <c r="R207">
        <f>YEAR(tbl_daily[[#This Row],[Date]])</f>
        <v>2023</v>
      </c>
      <c r="S207" t="str">
        <f>TEXT(tbl_daily[[#This Row],[Date]],"mmmm")</f>
        <v>June</v>
      </c>
      <c r="T207">
        <f>MONTH(tbl_daily[[#This Row],[Date]])</f>
        <v>6</v>
      </c>
      <c r="U207" t="str">
        <f>"Q"&amp;ROUNDUP(MONTH(tbl_daily[[#This Row],[Date]])/3,0)</f>
        <v>Q2</v>
      </c>
      <c r="V207" t="str">
        <f>TEXT(tbl_daily[[#This Row],[Date]],"dddd")</f>
        <v>Friday</v>
      </c>
      <c r="W207" t="str">
        <f t="shared" si="9"/>
        <v>Profitable</v>
      </c>
      <c r="X207">
        <f t="shared" si="10"/>
        <v>28.072422728114006</v>
      </c>
      <c r="Y207">
        <f t="shared" si="11"/>
        <v>15.209198593374046</v>
      </c>
    </row>
    <row r="208" spans="1:25">
      <c r="A208" s="3">
        <v>45108</v>
      </c>
      <c r="B208" s="1">
        <v>5769.2249999999976</v>
      </c>
      <c r="C208" s="1">
        <v>8940</v>
      </c>
      <c r="D208" s="1">
        <v>3170.7750000000024</v>
      </c>
      <c r="E208" s="1">
        <v>2196.1</v>
      </c>
      <c r="F208" s="1">
        <v>3600</v>
      </c>
      <c r="G208" s="1">
        <v>1403.9</v>
      </c>
      <c r="H208" s="1">
        <v>93</v>
      </c>
      <c r="I208" s="1">
        <v>1800</v>
      </c>
      <c r="J208" s="1">
        <v>1707</v>
      </c>
      <c r="K208" s="1">
        <v>4711.6666666666661</v>
      </c>
      <c r="L208" s="1">
        <v>6170</v>
      </c>
      <c r="M208" s="1">
        <v>1458.3333333333339</v>
      </c>
      <c r="N208" s="1">
        <v>2316.6666666666665</v>
      </c>
      <c r="O208" s="1">
        <v>20510</v>
      </c>
      <c r="P208" s="1">
        <v>7740.0083333333378</v>
      </c>
      <c r="Q208" s="1">
        <v>5423.3416666666708</v>
      </c>
      <c r="R208">
        <f>YEAR(tbl_daily[[#This Row],[Date]])</f>
        <v>2023</v>
      </c>
      <c r="S208" t="str">
        <f>TEXT(tbl_daily[[#This Row],[Date]],"mmmm")</f>
        <v>July</v>
      </c>
      <c r="T208">
        <f>MONTH(tbl_daily[[#This Row],[Date]])</f>
        <v>7</v>
      </c>
      <c r="U208" t="str">
        <f>"Q"&amp;ROUNDUP(MONTH(tbl_daily[[#This Row],[Date]])/3,0)</f>
        <v>Q3</v>
      </c>
      <c r="V208" t="str">
        <f>TEXT(tbl_daily[[#This Row],[Date]],"dddd")</f>
        <v>Saturday</v>
      </c>
      <c r="W208" t="str">
        <f t="shared" si="9"/>
        <v>Profitable</v>
      </c>
      <c r="X208">
        <f t="shared" si="10"/>
        <v>37.737729562814906</v>
      </c>
      <c r="Y208">
        <f t="shared" si="11"/>
        <v>26.442426458638085</v>
      </c>
    </row>
    <row r="209" spans="1:25">
      <c r="A209" s="3">
        <v>45109</v>
      </c>
      <c r="B209" s="1">
        <v>6900.5250000000024</v>
      </c>
      <c r="C209" s="1">
        <v>6680</v>
      </c>
      <c r="D209" s="1">
        <v>-220.52500000000236</v>
      </c>
      <c r="E209" s="1">
        <v>2126.25</v>
      </c>
      <c r="F209" s="1">
        <v>4500</v>
      </c>
      <c r="G209" s="1">
        <v>2373.75</v>
      </c>
      <c r="H209" s="1">
        <v>0</v>
      </c>
      <c r="I209" s="1">
        <v>0</v>
      </c>
      <c r="J209" s="1">
        <v>0</v>
      </c>
      <c r="K209" s="1">
        <v>2433.3333333333335</v>
      </c>
      <c r="L209" s="1">
        <v>3430</v>
      </c>
      <c r="M209" s="1">
        <v>996.66666666666652</v>
      </c>
      <c r="N209" s="1">
        <v>2316.6666666666665</v>
      </c>
      <c r="O209" s="1">
        <v>14610</v>
      </c>
      <c r="P209" s="1">
        <v>3149.8916666666642</v>
      </c>
      <c r="Q209" s="1">
        <v>833.22499999999764</v>
      </c>
      <c r="R209">
        <f>YEAR(tbl_daily[[#This Row],[Date]])</f>
        <v>2023</v>
      </c>
      <c r="S209" t="str">
        <f>TEXT(tbl_daily[[#This Row],[Date]],"mmmm")</f>
        <v>July</v>
      </c>
      <c r="T209">
        <f>MONTH(tbl_daily[[#This Row],[Date]])</f>
        <v>7</v>
      </c>
      <c r="U209" t="str">
        <f>"Q"&amp;ROUNDUP(MONTH(tbl_daily[[#This Row],[Date]])/3,0)</f>
        <v>Q3</v>
      </c>
      <c r="V209" t="str">
        <f>TEXT(tbl_daily[[#This Row],[Date]],"dddd")</f>
        <v>Sunday</v>
      </c>
      <c r="W209" t="str">
        <f t="shared" si="9"/>
        <v>Profitable</v>
      </c>
      <c r="X209">
        <f t="shared" si="10"/>
        <v>21.55983344741043</v>
      </c>
      <c r="Y209">
        <f t="shared" si="11"/>
        <v>5.703114305270347</v>
      </c>
    </row>
    <row r="210" spans="1:25">
      <c r="A210" s="3">
        <v>45110</v>
      </c>
      <c r="B210" s="1">
        <v>5693.44</v>
      </c>
      <c r="C210" s="1">
        <v>10950</v>
      </c>
      <c r="D210" s="1">
        <v>5256.56</v>
      </c>
      <c r="E210" s="1">
        <v>1276.8249999999998</v>
      </c>
      <c r="F210" s="1">
        <v>1500</v>
      </c>
      <c r="G210" s="1">
        <v>223.17500000000015</v>
      </c>
      <c r="H210" s="1">
        <v>23</v>
      </c>
      <c r="I210" s="1">
        <v>350</v>
      </c>
      <c r="J210" s="1">
        <v>327</v>
      </c>
      <c r="K210" s="1">
        <v>3655.8333333333335</v>
      </c>
      <c r="L210" s="1">
        <v>4810</v>
      </c>
      <c r="M210" s="1">
        <v>1154.1666666666663</v>
      </c>
      <c r="N210" s="1">
        <v>2316.6666666666665</v>
      </c>
      <c r="O210" s="1">
        <v>17610</v>
      </c>
      <c r="P210" s="1">
        <v>6960.9016666666666</v>
      </c>
      <c r="Q210" s="1">
        <v>4644.2350000000006</v>
      </c>
      <c r="R210">
        <f>YEAR(tbl_daily[[#This Row],[Date]])</f>
        <v>2023</v>
      </c>
      <c r="S210" t="str">
        <f>TEXT(tbl_daily[[#This Row],[Date]],"mmmm")</f>
        <v>July</v>
      </c>
      <c r="T210">
        <f>MONTH(tbl_daily[[#This Row],[Date]])</f>
        <v>7</v>
      </c>
      <c r="U210" t="str">
        <f>"Q"&amp;ROUNDUP(MONTH(tbl_daily[[#This Row],[Date]])/3,0)</f>
        <v>Q3</v>
      </c>
      <c r="V210" t="str">
        <f>TEXT(tbl_daily[[#This Row],[Date]],"dddd")</f>
        <v>Monday</v>
      </c>
      <c r="W210" t="str">
        <f t="shared" si="9"/>
        <v>Profitable</v>
      </c>
      <c r="X210">
        <f t="shared" si="10"/>
        <v>39.528118493280331</v>
      </c>
      <c r="Y210">
        <f t="shared" si="11"/>
        <v>26.37271436683703</v>
      </c>
    </row>
    <row r="211" spans="1:25">
      <c r="A211" s="3">
        <v>45111</v>
      </c>
      <c r="B211" s="1">
        <v>3889.29</v>
      </c>
      <c r="C211" s="1">
        <v>4200</v>
      </c>
      <c r="D211" s="1">
        <v>310.71000000000004</v>
      </c>
      <c r="E211" s="1">
        <v>2181.7250000000004</v>
      </c>
      <c r="F211" s="1">
        <v>5400</v>
      </c>
      <c r="G211" s="1">
        <v>3218.2749999999996</v>
      </c>
      <c r="H211" s="1">
        <v>0</v>
      </c>
      <c r="I211" s="1">
        <v>0</v>
      </c>
      <c r="J211" s="1">
        <v>0</v>
      </c>
      <c r="K211" s="1">
        <v>3164.166666666667</v>
      </c>
      <c r="L211" s="1">
        <v>4370</v>
      </c>
      <c r="M211" s="1">
        <v>1205.833333333333</v>
      </c>
      <c r="N211" s="1">
        <v>2316.6666666666665</v>
      </c>
      <c r="O211" s="1">
        <v>13970</v>
      </c>
      <c r="P211" s="1">
        <v>4734.8183333333327</v>
      </c>
      <c r="Q211" s="1">
        <v>2418.1516666666662</v>
      </c>
      <c r="R211">
        <f>YEAR(tbl_daily[[#This Row],[Date]])</f>
        <v>2023</v>
      </c>
      <c r="S211" t="str">
        <f>TEXT(tbl_daily[[#This Row],[Date]],"mmmm")</f>
        <v>July</v>
      </c>
      <c r="T211">
        <f>MONTH(tbl_daily[[#This Row],[Date]])</f>
        <v>7</v>
      </c>
      <c r="U211" t="str">
        <f>"Q"&amp;ROUNDUP(MONTH(tbl_daily[[#This Row],[Date]])/3,0)</f>
        <v>Q3</v>
      </c>
      <c r="V211" t="str">
        <f>TEXT(tbl_daily[[#This Row],[Date]],"dddd")</f>
        <v>Tuesday</v>
      </c>
      <c r="W211" t="str">
        <f t="shared" si="9"/>
        <v>Profitable</v>
      </c>
      <c r="X211">
        <f t="shared" si="10"/>
        <v>33.892758291577188</v>
      </c>
      <c r="Y211">
        <f t="shared" si="11"/>
        <v>17.309603913147217</v>
      </c>
    </row>
    <row r="212" spans="1:25">
      <c r="A212" s="3">
        <v>45119</v>
      </c>
      <c r="B212" s="1">
        <v>5237.3849999999984</v>
      </c>
      <c r="C212" s="1">
        <v>8720</v>
      </c>
      <c r="D212" s="1">
        <v>3482.6150000000016</v>
      </c>
      <c r="E212" s="1">
        <v>2749.6749999999997</v>
      </c>
      <c r="F212" s="1">
        <v>5700</v>
      </c>
      <c r="G212" s="1">
        <v>2950.3250000000003</v>
      </c>
      <c r="H212" s="1">
        <v>172.5</v>
      </c>
      <c r="I212" s="1">
        <v>800</v>
      </c>
      <c r="J212" s="1">
        <v>627.5</v>
      </c>
      <c r="K212" s="1">
        <v>2032.5</v>
      </c>
      <c r="L212" s="1">
        <v>2650</v>
      </c>
      <c r="M212" s="1">
        <v>617.5</v>
      </c>
      <c r="N212" s="1">
        <v>2316.6666666666665</v>
      </c>
      <c r="O212" s="1">
        <v>17870</v>
      </c>
      <c r="P212" s="1">
        <v>7677.9400000000014</v>
      </c>
      <c r="Q212" s="1">
        <v>5361.2733333333363</v>
      </c>
      <c r="R212">
        <f>YEAR(tbl_daily[[#This Row],[Date]])</f>
        <v>2023</v>
      </c>
      <c r="S212" t="str">
        <f>TEXT(tbl_daily[[#This Row],[Date]],"mmmm")</f>
        <v>July</v>
      </c>
      <c r="T212">
        <f>MONTH(tbl_daily[[#This Row],[Date]])</f>
        <v>7</v>
      </c>
      <c r="U212" t="str">
        <f>"Q"&amp;ROUNDUP(MONTH(tbl_daily[[#This Row],[Date]])/3,0)</f>
        <v>Q3</v>
      </c>
      <c r="V212" t="str">
        <f>TEXT(tbl_daily[[#This Row],[Date]],"dddd")</f>
        <v>Wednesday</v>
      </c>
      <c r="W212" t="str">
        <f t="shared" si="9"/>
        <v>Profitable</v>
      </c>
      <c r="X212">
        <f t="shared" si="10"/>
        <v>42.965528819250146</v>
      </c>
      <c r="Y212">
        <f t="shared" si="11"/>
        <v>30.001529565379609</v>
      </c>
    </row>
    <row r="213" spans="1:25">
      <c r="A213" s="3">
        <v>45120</v>
      </c>
      <c r="B213" s="1">
        <v>5542.744999999999</v>
      </c>
      <c r="C213" s="1">
        <v>5630</v>
      </c>
      <c r="D213" s="1">
        <v>87.255000000001019</v>
      </c>
      <c r="E213" s="1">
        <v>4806.5350000000008</v>
      </c>
      <c r="F213" s="1">
        <v>8100</v>
      </c>
      <c r="G213" s="1">
        <v>3293.4649999999992</v>
      </c>
      <c r="H213" s="1">
        <v>81</v>
      </c>
      <c r="I213" s="1">
        <v>1000</v>
      </c>
      <c r="J213" s="1">
        <v>919</v>
      </c>
      <c r="K213" s="1">
        <v>2959.9999999999995</v>
      </c>
      <c r="L213" s="1">
        <v>4030</v>
      </c>
      <c r="M213" s="1">
        <v>1070.0000000000005</v>
      </c>
      <c r="N213" s="1">
        <v>2316.6666666666665</v>
      </c>
      <c r="O213" s="1">
        <v>18760</v>
      </c>
      <c r="P213" s="1">
        <v>5369.7200000000012</v>
      </c>
      <c r="Q213" s="1">
        <v>3053.0533333333342</v>
      </c>
      <c r="R213">
        <f>YEAR(tbl_daily[[#This Row],[Date]])</f>
        <v>2023</v>
      </c>
      <c r="S213" t="str">
        <f>TEXT(tbl_daily[[#This Row],[Date]],"mmmm")</f>
        <v>July</v>
      </c>
      <c r="T213">
        <f>MONTH(tbl_daily[[#This Row],[Date]])</f>
        <v>7</v>
      </c>
      <c r="U213" t="str">
        <f>"Q"&amp;ROUNDUP(MONTH(tbl_daily[[#This Row],[Date]])/3,0)</f>
        <v>Q3</v>
      </c>
      <c r="V213" t="str">
        <f>TEXT(tbl_daily[[#This Row],[Date]],"dddd")</f>
        <v>Thursday</v>
      </c>
      <c r="W213" t="str">
        <f t="shared" si="9"/>
        <v>Profitable</v>
      </c>
      <c r="X213">
        <f t="shared" si="10"/>
        <v>28.623240938166315</v>
      </c>
      <c r="Y213">
        <f t="shared" si="11"/>
        <v>16.274271499644637</v>
      </c>
    </row>
    <row r="214" spans="1:25">
      <c r="A214" s="3">
        <v>45121</v>
      </c>
      <c r="B214" s="1">
        <v>5917.1050000000005</v>
      </c>
      <c r="C214" s="1">
        <v>9670</v>
      </c>
      <c r="D214" s="1">
        <v>3752.8949999999991</v>
      </c>
      <c r="E214" s="1">
        <v>1471.4899999999996</v>
      </c>
      <c r="F214" s="1">
        <v>2100</v>
      </c>
      <c r="G214" s="1">
        <v>628.51000000000045</v>
      </c>
      <c r="H214" s="1">
        <v>35</v>
      </c>
      <c r="I214" s="1">
        <v>600</v>
      </c>
      <c r="J214" s="1">
        <v>565</v>
      </c>
      <c r="K214" s="1">
        <v>1805</v>
      </c>
      <c r="L214" s="1">
        <v>2440</v>
      </c>
      <c r="M214" s="1">
        <v>635.00000000000023</v>
      </c>
      <c r="N214" s="1">
        <v>2316.6666666666665</v>
      </c>
      <c r="O214" s="1">
        <v>14810</v>
      </c>
      <c r="P214" s="1">
        <v>5581.4049999999997</v>
      </c>
      <c r="Q214" s="1">
        <v>3264.7383333333332</v>
      </c>
      <c r="R214">
        <f>YEAR(tbl_daily[[#This Row],[Date]])</f>
        <v>2023</v>
      </c>
      <c r="S214" t="str">
        <f>TEXT(tbl_daily[[#This Row],[Date]],"mmmm")</f>
        <v>July</v>
      </c>
      <c r="T214">
        <f>MONTH(tbl_daily[[#This Row],[Date]])</f>
        <v>7</v>
      </c>
      <c r="U214" t="str">
        <f>"Q"&amp;ROUNDUP(MONTH(tbl_daily[[#This Row],[Date]])/3,0)</f>
        <v>Q3</v>
      </c>
      <c r="V214" t="str">
        <f>TEXT(tbl_daily[[#This Row],[Date]],"dddd")</f>
        <v>Friday</v>
      </c>
      <c r="W214" t="str">
        <f t="shared" si="9"/>
        <v>Profitable</v>
      </c>
      <c r="X214">
        <f t="shared" si="10"/>
        <v>37.686731937879806</v>
      </c>
      <c r="Y214">
        <f t="shared" si="11"/>
        <v>22.044148098131892</v>
      </c>
    </row>
    <row r="215" spans="1:25">
      <c r="A215" s="3">
        <v>45122</v>
      </c>
      <c r="B215" s="1">
        <v>4943.8149999999987</v>
      </c>
      <c r="C215" s="1">
        <v>4730</v>
      </c>
      <c r="D215" s="1">
        <v>-213.81499999999869</v>
      </c>
      <c r="E215" s="1">
        <v>1230.0750000000005</v>
      </c>
      <c r="F215" s="1">
        <v>1500</v>
      </c>
      <c r="G215" s="1">
        <v>269.92499999999973</v>
      </c>
      <c r="H215" s="1">
        <v>69</v>
      </c>
      <c r="I215" s="1">
        <v>1050</v>
      </c>
      <c r="J215" s="1">
        <v>981</v>
      </c>
      <c r="K215" s="1">
        <v>2207.4999999999995</v>
      </c>
      <c r="L215" s="1">
        <v>3000</v>
      </c>
      <c r="M215" s="1">
        <v>792.50000000000045</v>
      </c>
      <c r="N215" s="1">
        <v>2316.6666666666665</v>
      </c>
      <c r="O215" s="1">
        <v>10280</v>
      </c>
      <c r="P215" s="1">
        <v>1829.6100000000015</v>
      </c>
      <c r="Q215" s="1">
        <v>-487.05666666666502</v>
      </c>
      <c r="R215">
        <f>YEAR(tbl_daily[[#This Row],[Date]])</f>
        <v>2023</v>
      </c>
      <c r="S215" t="str">
        <f>TEXT(tbl_daily[[#This Row],[Date]],"mmmm")</f>
        <v>July</v>
      </c>
      <c r="T215">
        <f>MONTH(tbl_daily[[#This Row],[Date]])</f>
        <v>7</v>
      </c>
      <c r="U215" t="str">
        <f>"Q"&amp;ROUNDUP(MONTH(tbl_daily[[#This Row],[Date]])/3,0)</f>
        <v>Q3</v>
      </c>
      <c r="V215" t="str">
        <f>TEXT(tbl_daily[[#This Row],[Date]],"dddd")</f>
        <v>Saturday</v>
      </c>
      <c r="W215" t="str">
        <f t="shared" si="9"/>
        <v>Loss</v>
      </c>
      <c r="X215">
        <f t="shared" si="10"/>
        <v>17.79776264591441</v>
      </c>
      <c r="Y215">
        <f t="shared" si="11"/>
        <v>-4.7379053177691155</v>
      </c>
    </row>
    <row r="216" spans="1:25">
      <c r="A216" s="3">
        <v>45123</v>
      </c>
      <c r="B216" s="1">
        <v>5304.1950000000006</v>
      </c>
      <c r="C216" s="1">
        <v>5440</v>
      </c>
      <c r="D216" s="1">
        <v>135.80499999999938</v>
      </c>
      <c r="E216" s="1">
        <v>2066.7999999999997</v>
      </c>
      <c r="F216" s="1">
        <v>3600</v>
      </c>
      <c r="G216" s="1">
        <v>1533.2000000000005</v>
      </c>
      <c r="H216" s="1">
        <v>0</v>
      </c>
      <c r="I216" s="1">
        <v>0</v>
      </c>
      <c r="J216" s="1">
        <v>0</v>
      </c>
      <c r="K216" s="1">
        <v>3765.833333333333</v>
      </c>
      <c r="L216" s="1">
        <v>4950</v>
      </c>
      <c r="M216" s="1">
        <v>1184.166666666667</v>
      </c>
      <c r="N216" s="1">
        <v>2316.6666666666665</v>
      </c>
      <c r="O216" s="1">
        <v>13990</v>
      </c>
      <c r="P216" s="1">
        <v>2853.1716666666666</v>
      </c>
      <c r="Q216" s="1">
        <v>536.50500000000011</v>
      </c>
      <c r="R216">
        <f>YEAR(tbl_daily[[#This Row],[Date]])</f>
        <v>2023</v>
      </c>
      <c r="S216" t="str">
        <f>TEXT(tbl_daily[[#This Row],[Date]],"mmmm")</f>
        <v>July</v>
      </c>
      <c r="T216">
        <f>MONTH(tbl_daily[[#This Row],[Date]])</f>
        <v>7</v>
      </c>
      <c r="U216" t="str">
        <f>"Q"&amp;ROUNDUP(MONTH(tbl_daily[[#This Row],[Date]])/3,0)</f>
        <v>Q3</v>
      </c>
      <c r="V216" t="str">
        <f>TEXT(tbl_daily[[#This Row],[Date]],"dddd")</f>
        <v>Sunday</v>
      </c>
      <c r="W216" t="str">
        <f t="shared" si="9"/>
        <v>Profitable</v>
      </c>
      <c r="X216">
        <f t="shared" si="10"/>
        <v>20.394365022635217</v>
      </c>
      <c r="Y216">
        <f t="shared" si="11"/>
        <v>3.8349177984274485</v>
      </c>
    </row>
    <row r="217" spans="1:25">
      <c r="A217" s="3">
        <v>45124</v>
      </c>
      <c r="B217" s="1">
        <v>4696.2450000000008</v>
      </c>
      <c r="C217" s="1">
        <v>5620</v>
      </c>
      <c r="D217" s="1">
        <v>923.7549999999992</v>
      </c>
      <c r="E217" s="1">
        <v>2554.3000000000002</v>
      </c>
      <c r="F217" s="1">
        <v>3600</v>
      </c>
      <c r="G217" s="1">
        <v>1045.6999999999998</v>
      </c>
      <c r="H217" s="1">
        <v>128</v>
      </c>
      <c r="I217" s="1">
        <v>2150</v>
      </c>
      <c r="J217" s="1">
        <v>2022</v>
      </c>
      <c r="K217" s="1">
        <v>2615.8333333333335</v>
      </c>
      <c r="L217" s="1">
        <v>3830</v>
      </c>
      <c r="M217" s="1">
        <v>1214.1666666666663</v>
      </c>
      <c r="N217" s="1">
        <v>2316.6666666666665</v>
      </c>
      <c r="O217" s="1">
        <v>15200</v>
      </c>
      <c r="P217" s="1">
        <v>5205.621666666666</v>
      </c>
      <c r="Q217" s="1">
        <v>2888.9549999999995</v>
      </c>
      <c r="R217">
        <f>YEAR(tbl_daily[[#This Row],[Date]])</f>
        <v>2023</v>
      </c>
      <c r="S217" t="str">
        <f>TEXT(tbl_daily[[#This Row],[Date]],"mmmm")</f>
        <v>July</v>
      </c>
      <c r="T217">
        <f>MONTH(tbl_daily[[#This Row],[Date]])</f>
        <v>7</v>
      </c>
      <c r="U217" t="str">
        <f>"Q"&amp;ROUNDUP(MONTH(tbl_daily[[#This Row],[Date]])/3,0)</f>
        <v>Q3</v>
      </c>
      <c r="V217" t="str">
        <f>TEXT(tbl_daily[[#This Row],[Date]],"dddd")</f>
        <v>Monday</v>
      </c>
      <c r="W217" t="str">
        <f t="shared" si="9"/>
        <v>Profitable</v>
      </c>
      <c r="X217">
        <f t="shared" si="10"/>
        <v>34.247510964912273</v>
      </c>
      <c r="Y217">
        <f t="shared" si="11"/>
        <v>19.006282894736838</v>
      </c>
    </row>
    <row r="218" spans="1:25">
      <c r="A218" s="3">
        <v>45125</v>
      </c>
      <c r="B218" s="1">
        <v>4930.04</v>
      </c>
      <c r="C218" s="1">
        <v>4420</v>
      </c>
      <c r="D218" s="1">
        <v>-510.04</v>
      </c>
      <c r="E218" s="1">
        <v>2549.5000000000005</v>
      </c>
      <c r="F218" s="1">
        <v>3900</v>
      </c>
      <c r="G218" s="1">
        <v>1350.4999999999995</v>
      </c>
      <c r="H218" s="1">
        <v>151</v>
      </c>
      <c r="I218" s="1">
        <v>1900</v>
      </c>
      <c r="J218" s="1">
        <v>1749</v>
      </c>
      <c r="K218" s="1">
        <v>2290.833333333333</v>
      </c>
      <c r="L218" s="1">
        <v>3100</v>
      </c>
      <c r="M218" s="1">
        <v>809.16666666666708</v>
      </c>
      <c r="N218" s="1">
        <v>2316.6666666666665</v>
      </c>
      <c r="O218" s="1">
        <v>13320</v>
      </c>
      <c r="P218" s="1">
        <v>3398.6266666666666</v>
      </c>
      <c r="Q218" s="1">
        <v>1081.96</v>
      </c>
      <c r="R218">
        <f>YEAR(tbl_daily[[#This Row],[Date]])</f>
        <v>2023</v>
      </c>
      <c r="S218" t="str">
        <f>TEXT(tbl_daily[[#This Row],[Date]],"mmmm")</f>
        <v>July</v>
      </c>
      <c r="T218">
        <f>MONTH(tbl_daily[[#This Row],[Date]])</f>
        <v>7</v>
      </c>
      <c r="U218" t="str">
        <f>"Q"&amp;ROUNDUP(MONTH(tbl_daily[[#This Row],[Date]])/3,0)</f>
        <v>Q3</v>
      </c>
      <c r="V218" t="str">
        <f>TEXT(tbl_daily[[#This Row],[Date]],"dddd")</f>
        <v>Tuesday</v>
      </c>
      <c r="W218" t="str">
        <f t="shared" si="9"/>
        <v>Profitable</v>
      </c>
      <c r="X218">
        <f t="shared" si="10"/>
        <v>25.515215215215214</v>
      </c>
      <c r="Y218">
        <f t="shared" si="11"/>
        <v>8.1228228228228225</v>
      </c>
    </row>
    <row r="219" spans="1:25">
      <c r="A219" s="3">
        <v>45126</v>
      </c>
      <c r="B219" s="1">
        <v>5076.1400000000003</v>
      </c>
      <c r="C219" s="1">
        <v>6650</v>
      </c>
      <c r="D219" s="1">
        <v>1573.8599999999997</v>
      </c>
      <c r="E219" s="1">
        <v>2079.9750000000004</v>
      </c>
      <c r="F219" s="1">
        <v>3000</v>
      </c>
      <c r="G219" s="1">
        <v>920.02499999999964</v>
      </c>
      <c r="H219" s="1">
        <v>81</v>
      </c>
      <c r="I219" s="1">
        <v>1000</v>
      </c>
      <c r="J219" s="1">
        <v>919</v>
      </c>
      <c r="K219" s="1">
        <v>1145.8333333333333</v>
      </c>
      <c r="L219" s="1">
        <v>1510</v>
      </c>
      <c r="M219" s="1">
        <v>364.16666666666674</v>
      </c>
      <c r="N219" s="1">
        <v>2316.6666666666665</v>
      </c>
      <c r="O219" s="1">
        <v>12160</v>
      </c>
      <c r="P219" s="1">
        <v>3777.0516666666663</v>
      </c>
      <c r="Q219" s="1">
        <v>1460.3849999999998</v>
      </c>
      <c r="R219">
        <f>YEAR(tbl_daily[[#This Row],[Date]])</f>
        <v>2023</v>
      </c>
      <c r="S219" t="str">
        <f>TEXT(tbl_daily[[#This Row],[Date]],"mmmm")</f>
        <v>July</v>
      </c>
      <c r="T219">
        <f>MONTH(tbl_daily[[#This Row],[Date]])</f>
        <v>7</v>
      </c>
      <c r="U219" t="str">
        <f>"Q"&amp;ROUNDUP(MONTH(tbl_daily[[#This Row],[Date]])/3,0)</f>
        <v>Q3</v>
      </c>
      <c r="V219" t="str">
        <f>TEXT(tbl_daily[[#This Row],[Date]],"dddd")</f>
        <v>Wednesday</v>
      </c>
      <c r="W219" t="str">
        <f t="shared" si="9"/>
        <v>Profitable</v>
      </c>
      <c r="X219">
        <f t="shared" si="10"/>
        <v>31.061280153508768</v>
      </c>
      <c r="Y219">
        <f t="shared" si="11"/>
        <v>12.009745065789472</v>
      </c>
    </row>
    <row r="220" spans="1:25">
      <c r="A220" s="3">
        <v>45127</v>
      </c>
      <c r="B220" s="1">
        <v>5578.9830000000002</v>
      </c>
      <c r="C220" s="1">
        <v>9830</v>
      </c>
      <c r="D220" s="1">
        <v>4251.0169999999998</v>
      </c>
      <c r="E220" s="1">
        <v>1093.6600000000001</v>
      </c>
      <c r="F220" s="1">
        <v>600</v>
      </c>
      <c r="G220" s="1">
        <v>-493.65999999999985</v>
      </c>
      <c r="H220" s="1">
        <v>104</v>
      </c>
      <c r="I220" s="1">
        <v>1350</v>
      </c>
      <c r="J220" s="1">
        <v>1246</v>
      </c>
      <c r="K220" s="1">
        <v>1615</v>
      </c>
      <c r="L220" s="1">
        <v>2100</v>
      </c>
      <c r="M220" s="1">
        <v>485</v>
      </c>
      <c r="N220" s="1">
        <v>2316.6666666666665</v>
      </c>
      <c r="O220" s="1">
        <v>13880</v>
      </c>
      <c r="P220" s="1">
        <v>5488.357</v>
      </c>
      <c r="Q220" s="1">
        <v>3171.6903333333335</v>
      </c>
      <c r="R220">
        <f>YEAR(tbl_daily[[#This Row],[Date]])</f>
        <v>2023</v>
      </c>
      <c r="S220" t="str">
        <f>TEXT(tbl_daily[[#This Row],[Date]],"mmmm")</f>
        <v>July</v>
      </c>
      <c r="T220">
        <f>MONTH(tbl_daily[[#This Row],[Date]])</f>
        <v>7</v>
      </c>
      <c r="U220" t="str">
        <f>"Q"&amp;ROUNDUP(MONTH(tbl_daily[[#This Row],[Date]])/3,0)</f>
        <v>Q3</v>
      </c>
      <c r="V220" t="str">
        <f>TEXT(tbl_daily[[#This Row],[Date]],"dddd")</f>
        <v>Thursday</v>
      </c>
      <c r="W220" t="str">
        <f t="shared" si="9"/>
        <v>Profitable</v>
      </c>
      <c r="X220">
        <f t="shared" si="10"/>
        <v>39.541476945244959</v>
      </c>
      <c r="Y220">
        <f t="shared" si="11"/>
        <v>22.850794908741594</v>
      </c>
    </row>
    <row r="221" spans="1:25">
      <c r="A221" s="3">
        <v>45128</v>
      </c>
      <c r="B221" s="1">
        <v>4124.9120000000003</v>
      </c>
      <c r="C221" s="1">
        <v>4990</v>
      </c>
      <c r="D221" s="1">
        <v>865.08799999999962</v>
      </c>
      <c r="E221" s="1">
        <v>2237.8500000000004</v>
      </c>
      <c r="F221" s="1">
        <v>3500</v>
      </c>
      <c r="G221" s="1">
        <v>1262.1499999999996</v>
      </c>
      <c r="H221" s="1">
        <v>23</v>
      </c>
      <c r="I221" s="1">
        <v>350</v>
      </c>
      <c r="J221" s="1">
        <v>327</v>
      </c>
      <c r="K221" s="1">
        <v>3858.3333333333335</v>
      </c>
      <c r="L221" s="1">
        <v>5000</v>
      </c>
      <c r="M221" s="1">
        <v>1141.6666666666663</v>
      </c>
      <c r="N221" s="1">
        <v>2316.6666666666665</v>
      </c>
      <c r="O221" s="1">
        <v>13840</v>
      </c>
      <c r="P221" s="1">
        <v>3595.9046666666659</v>
      </c>
      <c r="Q221" s="1">
        <v>1279.2379999999994</v>
      </c>
      <c r="R221">
        <f>YEAR(tbl_daily[[#This Row],[Date]])</f>
        <v>2023</v>
      </c>
      <c r="S221" t="str">
        <f>TEXT(tbl_daily[[#This Row],[Date]],"mmmm")</f>
        <v>July</v>
      </c>
      <c r="T221">
        <f>MONTH(tbl_daily[[#This Row],[Date]])</f>
        <v>7</v>
      </c>
      <c r="U221" t="str">
        <f>"Q"&amp;ROUNDUP(MONTH(tbl_daily[[#This Row],[Date]])/3,0)</f>
        <v>Q3</v>
      </c>
      <c r="V221" t="str">
        <f>TEXT(tbl_daily[[#This Row],[Date]],"dddd")</f>
        <v>Friday</v>
      </c>
      <c r="W221" t="str">
        <f t="shared" si="9"/>
        <v>Profitable</v>
      </c>
      <c r="X221">
        <f t="shared" si="10"/>
        <v>25.981970134874754</v>
      </c>
      <c r="Y221">
        <f t="shared" si="11"/>
        <v>9.2430491329479718</v>
      </c>
    </row>
    <row r="222" spans="1:25">
      <c r="A222" s="3">
        <v>45129</v>
      </c>
      <c r="B222" s="1">
        <v>4929.4250000000002</v>
      </c>
      <c r="C222" s="1">
        <v>7130</v>
      </c>
      <c r="D222" s="1">
        <v>2200.5749999999998</v>
      </c>
      <c r="E222" s="1">
        <v>4178.01</v>
      </c>
      <c r="F222" s="1">
        <v>6800</v>
      </c>
      <c r="G222" s="1">
        <v>2621.99</v>
      </c>
      <c r="H222" s="1">
        <v>198</v>
      </c>
      <c r="I222" s="1">
        <v>2600</v>
      </c>
      <c r="J222" s="1">
        <v>2402</v>
      </c>
      <c r="K222" s="1">
        <v>2402.5</v>
      </c>
      <c r="L222" s="1">
        <v>3160</v>
      </c>
      <c r="M222" s="1">
        <v>757.5</v>
      </c>
      <c r="N222" s="1">
        <v>2316.6666666666665</v>
      </c>
      <c r="O222" s="1">
        <v>19690</v>
      </c>
      <c r="P222" s="1">
        <v>7982.0649999999996</v>
      </c>
      <c r="Q222" s="1">
        <v>5665.3983333333326</v>
      </c>
      <c r="R222">
        <f>YEAR(tbl_daily[[#This Row],[Date]])</f>
        <v>2023</v>
      </c>
      <c r="S222" t="str">
        <f>TEXT(tbl_daily[[#This Row],[Date]],"mmmm")</f>
        <v>July</v>
      </c>
      <c r="T222">
        <f>MONTH(tbl_daily[[#This Row],[Date]])</f>
        <v>7</v>
      </c>
      <c r="U222" t="str">
        <f>"Q"&amp;ROUNDUP(MONTH(tbl_daily[[#This Row],[Date]])/3,0)</f>
        <v>Q3</v>
      </c>
      <c r="V222" t="str">
        <f>TEXT(tbl_daily[[#This Row],[Date]],"dddd")</f>
        <v>Saturday</v>
      </c>
      <c r="W222" t="str">
        <f t="shared" si="9"/>
        <v>Profitable</v>
      </c>
      <c r="X222">
        <f t="shared" si="10"/>
        <v>40.538674454037583</v>
      </c>
      <c r="Y222">
        <f t="shared" si="11"/>
        <v>28.772972744201791</v>
      </c>
    </row>
    <row r="223" spans="1:25">
      <c r="A223" s="3">
        <v>45130</v>
      </c>
      <c r="B223" s="1">
        <v>6159.585</v>
      </c>
      <c r="C223" s="1">
        <v>6600</v>
      </c>
      <c r="D223" s="1">
        <v>440.41500000000002</v>
      </c>
      <c r="E223" s="1">
        <v>3225.5249999999996</v>
      </c>
      <c r="F223" s="1">
        <v>5600</v>
      </c>
      <c r="G223" s="1">
        <v>2374.4750000000004</v>
      </c>
      <c r="H223" s="1">
        <v>70</v>
      </c>
      <c r="I223" s="1">
        <v>600</v>
      </c>
      <c r="J223" s="1">
        <v>530</v>
      </c>
      <c r="K223" s="1">
        <v>2314.9999999999995</v>
      </c>
      <c r="L223" s="1">
        <v>2890</v>
      </c>
      <c r="M223" s="1">
        <v>575.00000000000045</v>
      </c>
      <c r="N223" s="1">
        <v>2316.6666666666665</v>
      </c>
      <c r="O223" s="1">
        <v>15690</v>
      </c>
      <c r="P223" s="1">
        <v>3919.8900000000008</v>
      </c>
      <c r="Q223" s="1">
        <v>1603.2233333333345</v>
      </c>
      <c r="R223">
        <f>YEAR(tbl_daily[[#This Row],[Date]])</f>
        <v>2023</v>
      </c>
      <c r="S223" t="str">
        <f>TEXT(tbl_daily[[#This Row],[Date]],"mmmm")</f>
        <v>July</v>
      </c>
      <c r="T223">
        <f>MONTH(tbl_daily[[#This Row],[Date]])</f>
        <v>7</v>
      </c>
      <c r="U223" t="str">
        <f>"Q"&amp;ROUNDUP(MONTH(tbl_daily[[#This Row],[Date]])/3,0)</f>
        <v>Q3</v>
      </c>
      <c r="V223" t="str">
        <f>TEXT(tbl_daily[[#This Row],[Date]],"dddd")</f>
        <v>Sunday</v>
      </c>
      <c r="W223" t="str">
        <f t="shared" si="9"/>
        <v>Profitable</v>
      </c>
      <c r="X223">
        <f t="shared" si="10"/>
        <v>24.983365200764823</v>
      </c>
      <c r="Y223">
        <f t="shared" si="11"/>
        <v>10.218121946037824</v>
      </c>
    </row>
    <row r="224" spans="1:25">
      <c r="A224" s="3">
        <v>45131</v>
      </c>
      <c r="B224" s="1">
        <v>5026.7259999999997</v>
      </c>
      <c r="C224" s="1">
        <v>7460</v>
      </c>
      <c r="D224" s="1">
        <v>2433.2740000000003</v>
      </c>
      <c r="E224" s="1">
        <v>1525.7999999999995</v>
      </c>
      <c r="F224" s="1">
        <v>2000</v>
      </c>
      <c r="G224" s="1">
        <v>474.20000000000022</v>
      </c>
      <c r="H224" s="1">
        <v>93</v>
      </c>
      <c r="I224" s="1">
        <v>900</v>
      </c>
      <c r="J224" s="1">
        <v>807</v>
      </c>
      <c r="K224" s="1">
        <v>1954.1666666666667</v>
      </c>
      <c r="L224" s="1">
        <v>2660</v>
      </c>
      <c r="M224" s="1">
        <v>705.83333333333326</v>
      </c>
      <c r="N224" s="1">
        <v>2316.6666666666665</v>
      </c>
      <c r="O224" s="1">
        <v>13020</v>
      </c>
      <c r="P224" s="1">
        <v>4420.3073333333341</v>
      </c>
      <c r="Q224" s="1">
        <v>2103.6406666666676</v>
      </c>
      <c r="R224">
        <f>YEAR(tbl_daily[[#This Row],[Date]])</f>
        <v>2023</v>
      </c>
      <c r="S224" t="str">
        <f>TEXT(tbl_daily[[#This Row],[Date]],"mmmm")</f>
        <v>July</v>
      </c>
      <c r="T224">
        <f>MONTH(tbl_daily[[#This Row],[Date]])</f>
        <v>7</v>
      </c>
      <c r="U224" t="str">
        <f>"Q"&amp;ROUNDUP(MONTH(tbl_daily[[#This Row],[Date]])/3,0)</f>
        <v>Q3</v>
      </c>
      <c r="V224" t="str">
        <f>TEXT(tbl_daily[[#This Row],[Date]],"dddd")</f>
        <v>Monday</v>
      </c>
      <c r="W224" t="str">
        <f t="shared" si="9"/>
        <v>Profitable</v>
      </c>
      <c r="X224">
        <f t="shared" si="10"/>
        <v>33.950133128520235</v>
      </c>
      <c r="Y224">
        <f t="shared" si="11"/>
        <v>16.156994367639534</v>
      </c>
    </row>
    <row r="225" spans="1:25">
      <c r="A225" s="3">
        <v>45132</v>
      </c>
      <c r="B225" s="1">
        <v>4321.4649999999992</v>
      </c>
      <c r="C225" s="1">
        <v>7000</v>
      </c>
      <c r="D225" s="1">
        <v>2678.5350000000008</v>
      </c>
      <c r="E225" s="1">
        <v>2074.3500000000004</v>
      </c>
      <c r="F225" s="1">
        <v>3800</v>
      </c>
      <c r="G225" s="1">
        <v>1725.6499999999996</v>
      </c>
      <c r="H225" s="1">
        <v>35</v>
      </c>
      <c r="I225" s="1">
        <v>650</v>
      </c>
      <c r="J225" s="1">
        <v>615</v>
      </c>
      <c r="K225" s="1">
        <v>2175.8333333333335</v>
      </c>
      <c r="L225" s="1">
        <v>2880</v>
      </c>
      <c r="M225" s="1">
        <v>704.16666666666652</v>
      </c>
      <c r="N225" s="1">
        <v>2316.6666666666665</v>
      </c>
      <c r="O225" s="1">
        <v>14330</v>
      </c>
      <c r="P225" s="1">
        <v>5723.3516666666674</v>
      </c>
      <c r="Q225" s="1">
        <v>3406.6850000000009</v>
      </c>
      <c r="R225">
        <f>YEAR(tbl_daily[[#This Row],[Date]])</f>
        <v>2023</v>
      </c>
      <c r="S225" t="str">
        <f>TEXT(tbl_daily[[#This Row],[Date]],"mmmm")</f>
        <v>July</v>
      </c>
      <c r="T225">
        <f>MONTH(tbl_daily[[#This Row],[Date]])</f>
        <v>7</v>
      </c>
      <c r="U225" t="str">
        <f>"Q"&amp;ROUNDUP(MONTH(tbl_daily[[#This Row],[Date]])/3,0)</f>
        <v>Q3</v>
      </c>
      <c r="V225" t="str">
        <f>TEXT(tbl_daily[[#This Row],[Date]],"dddd")</f>
        <v>Tuesday</v>
      </c>
      <c r="W225" t="str">
        <f t="shared" si="9"/>
        <v>Profitable</v>
      </c>
      <c r="X225">
        <f t="shared" si="10"/>
        <v>39.939648755524544</v>
      </c>
      <c r="Y225">
        <f t="shared" si="11"/>
        <v>23.77309839497558</v>
      </c>
    </row>
    <row r="226" spans="1:25">
      <c r="A226" s="3">
        <v>45133</v>
      </c>
      <c r="B226" s="1">
        <v>5718.915</v>
      </c>
      <c r="C226" s="1">
        <v>4040</v>
      </c>
      <c r="D226" s="1">
        <v>-1678.915</v>
      </c>
      <c r="E226" s="1">
        <v>2461.7750000000005</v>
      </c>
      <c r="F226" s="1">
        <v>3000</v>
      </c>
      <c r="G226" s="1">
        <v>538.22499999999945</v>
      </c>
      <c r="H226" s="1">
        <v>373</v>
      </c>
      <c r="I226" s="1">
        <v>3850</v>
      </c>
      <c r="J226" s="1">
        <v>3477</v>
      </c>
      <c r="K226" s="1">
        <v>2218.333333333333</v>
      </c>
      <c r="L226" s="1">
        <v>2800</v>
      </c>
      <c r="M226" s="1">
        <v>581.66666666666697</v>
      </c>
      <c r="N226" s="1">
        <v>2316.6666666666665</v>
      </c>
      <c r="O226" s="1">
        <v>13690</v>
      </c>
      <c r="P226" s="1">
        <v>2917.9766666666665</v>
      </c>
      <c r="Q226" s="1">
        <v>601.30999999999995</v>
      </c>
      <c r="R226">
        <f>YEAR(tbl_daily[[#This Row],[Date]])</f>
        <v>2023</v>
      </c>
      <c r="S226" t="str">
        <f>TEXT(tbl_daily[[#This Row],[Date]],"mmmm")</f>
        <v>July</v>
      </c>
      <c r="T226">
        <f>MONTH(tbl_daily[[#This Row],[Date]])</f>
        <v>7</v>
      </c>
      <c r="U226" t="str">
        <f>"Q"&amp;ROUNDUP(MONTH(tbl_daily[[#This Row],[Date]])/3,0)</f>
        <v>Q3</v>
      </c>
      <c r="V226" t="str">
        <f>TEXT(tbl_daily[[#This Row],[Date]],"dddd")</f>
        <v>Wednesday</v>
      </c>
      <c r="W226" t="str">
        <f t="shared" si="9"/>
        <v>Profitable</v>
      </c>
      <c r="X226">
        <f t="shared" si="10"/>
        <v>21.314657901144386</v>
      </c>
      <c r="Y226">
        <f t="shared" si="11"/>
        <v>4.3923301680058433</v>
      </c>
    </row>
    <row r="227" spans="1:25">
      <c r="A227" s="3">
        <v>45134</v>
      </c>
      <c r="B227" s="1">
        <v>5943.0499999999984</v>
      </c>
      <c r="C227" s="1">
        <v>8080</v>
      </c>
      <c r="D227" s="1">
        <v>2136.9500000000016</v>
      </c>
      <c r="E227" s="1">
        <v>2851.2000000000003</v>
      </c>
      <c r="F227" s="1">
        <v>4000</v>
      </c>
      <c r="G227" s="1">
        <v>1148.7999999999995</v>
      </c>
      <c r="H227" s="1">
        <v>151</v>
      </c>
      <c r="I227" s="1">
        <v>1850</v>
      </c>
      <c r="J227" s="1">
        <v>1699</v>
      </c>
      <c r="K227" s="1">
        <v>3205.8333333333335</v>
      </c>
      <c r="L227" s="1">
        <v>4100</v>
      </c>
      <c r="M227" s="1">
        <v>894.16666666666652</v>
      </c>
      <c r="N227" s="1">
        <v>2316.6666666666665</v>
      </c>
      <c r="O227" s="1">
        <v>18030</v>
      </c>
      <c r="P227" s="1">
        <v>5878.9166666666679</v>
      </c>
      <c r="Q227" s="1">
        <v>3562.2500000000018</v>
      </c>
      <c r="R227">
        <f>YEAR(tbl_daily[[#This Row],[Date]])</f>
        <v>2023</v>
      </c>
      <c r="S227" t="str">
        <f>TEXT(tbl_daily[[#This Row],[Date]],"mmmm")</f>
        <v>July</v>
      </c>
      <c r="T227">
        <f>MONTH(tbl_daily[[#This Row],[Date]])</f>
        <v>7</v>
      </c>
      <c r="U227" t="str">
        <f>"Q"&amp;ROUNDUP(MONTH(tbl_daily[[#This Row],[Date]])/3,0)</f>
        <v>Q3</v>
      </c>
      <c r="V227" t="str">
        <f>TEXT(tbl_daily[[#This Row],[Date]],"dddd")</f>
        <v>Thursday</v>
      </c>
      <c r="W227" t="str">
        <f t="shared" si="9"/>
        <v>Profitable</v>
      </c>
      <c r="X227">
        <f t="shared" si="10"/>
        <v>32.606304307635433</v>
      </c>
      <c r="Y227">
        <f t="shared" si="11"/>
        <v>19.757348863006111</v>
      </c>
    </row>
    <row r="228" spans="1:25">
      <c r="A228" s="3">
        <v>45135</v>
      </c>
      <c r="B228" s="1">
        <v>4531.8900000000003</v>
      </c>
      <c r="C228" s="1">
        <v>4770</v>
      </c>
      <c r="D228" s="1">
        <v>238.10999999999967</v>
      </c>
      <c r="E228" s="1">
        <v>2779.7749999999987</v>
      </c>
      <c r="F228" s="1">
        <v>4600</v>
      </c>
      <c r="G228" s="1">
        <v>1820.2250000000013</v>
      </c>
      <c r="H228" s="1">
        <v>116</v>
      </c>
      <c r="I228" s="1">
        <v>1300</v>
      </c>
      <c r="J228" s="1">
        <v>1184</v>
      </c>
      <c r="K228" s="1">
        <v>2664.166666666667</v>
      </c>
      <c r="L228" s="1">
        <v>3370</v>
      </c>
      <c r="M228" s="1">
        <v>705.83333333333303</v>
      </c>
      <c r="N228" s="1">
        <v>2316.6666666666665</v>
      </c>
      <c r="O228" s="1">
        <v>14040</v>
      </c>
      <c r="P228" s="1">
        <v>3948.168333333334</v>
      </c>
      <c r="Q228" s="1">
        <v>1631.5016666666677</v>
      </c>
      <c r="R228">
        <f>YEAR(tbl_daily[[#This Row],[Date]])</f>
        <v>2023</v>
      </c>
      <c r="S228" t="str">
        <f>TEXT(tbl_daily[[#This Row],[Date]],"mmmm")</f>
        <v>July</v>
      </c>
      <c r="T228">
        <f>MONTH(tbl_daily[[#This Row],[Date]])</f>
        <v>7</v>
      </c>
      <c r="U228" t="str">
        <f>"Q"&amp;ROUNDUP(MONTH(tbl_daily[[#This Row],[Date]])/3,0)</f>
        <v>Q3</v>
      </c>
      <c r="V228" t="str">
        <f>TEXT(tbl_daily[[#This Row],[Date]],"dddd")</f>
        <v>Friday</v>
      </c>
      <c r="W228" t="str">
        <f t="shared" si="9"/>
        <v>Profitable</v>
      </c>
      <c r="X228">
        <f t="shared" si="10"/>
        <v>28.120857075023746</v>
      </c>
      <c r="Y228">
        <f t="shared" si="11"/>
        <v>11.620382241215582</v>
      </c>
    </row>
    <row r="229" spans="1:25">
      <c r="A229" s="3">
        <v>45136</v>
      </c>
      <c r="B229" s="1">
        <v>3547.9599999999987</v>
      </c>
      <c r="C229" s="1">
        <v>7160</v>
      </c>
      <c r="D229" s="1">
        <v>3612.0400000000018</v>
      </c>
      <c r="E229" s="1">
        <v>2102.5499999999997</v>
      </c>
      <c r="F229" s="1">
        <v>2900</v>
      </c>
      <c r="G229" s="1">
        <v>797.45000000000027</v>
      </c>
      <c r="H229" s="1">
        <v>174</v>
      </c>
      <c r="I229" s="1">
        <v>1950</v>
      </c>
      <c r="J229" s="1">
        <v>1776</v>
      </c>
      <c r="K229" s="1">
        <v>2066.6666666666665</v>
      </c>
      <c r="L229" s="1">
        <v>2720</v>
      </c>
      <c r="M229" s="1">
        <v>653.33333333333348</v>
      </c>
      <c r="N229" s="1">
        <v>2316.6666666666665</v>
      </c>
      <c r="O229" s="1">
        <v>14730</v>
      </c>
      <c r="P229" s="1">
        <v>6838.8233333333355</v>
      </c>
      <c r="Q229" s="1">
        <v>4522.1566666666695</v>
      </c>
      <c r="R229">
        <f>YEAR(tbl_daily[[#This Row],[Date]])</f>
        <v>2023</v>
      </c>
      <c r="S229" t="str">
        <f>TEXT(tbl_daily[[#This Row],[Date]],"mmmm")</f>
        <v>July</v>
      </c>
      <c r="T229">
        <f>MONTH(tbl_daily[[#This Row],[Date]])</f>
        <v>7</v>
      </c>
      <c r="U229" t="str">
        <f>"Q"&amp;ROUNDUP(MONTH(tbl_daily[[#This Row],[Date]])/3,0)</f>
        <v>Q3</v>
      </c>
      <c r="V229" t="str">
        <f>TEXT(tbl_daily[[#This Row],[Date]],"dddd")</f>
        <v>Saturday</v>
      </c>
      <c r="W229" t="str">
        <f t="shared" si="9"/>
        <v>Profitable</v>
      </c>
      <c r="X229">
        <f t="shared" si="10"/>
        <v>46.427856981217488</v>
      </c>
      <c r="Y229">
        <f t="shared" si="11"/>
        <v>30.700316813758789</v>
      </c>
    </row>
    <row r="230" spans="1:25">
      <c r="A230" s="3">
        <v>45137</v>
      </c>
      <c r="B230" s="1">
        <v>4752.8849999999993</v>
      </c>
      <c r="C230" s="1">
        <v>8760</v>
      </c>
      <c r="D230" s="1">
        <v>4007.1150000000007</v>
      </c>
      <c r="E230" s="1">
        <v>4867.8249999999989</v>
      </c>
      <c r="F230" s="1">
        <v>4300</v>
      </c>
      <c r="G230" s="1">
        <v>-567.82499999999891</v>
      </c>
      <c r="H230" s="1">
        <v>497.75</v>
      </c>
      <c r="I230" s="1">
        <v>5100</v>
      </c>
      <c r="J230" s="1">
        <v>4602.25</v>
      </c>
      <c r="K230" s="1">
        <v>3428.3333333333335</v>
      </c>
      <c r="L230" s="1">
        <v>4400</v>
      </c>
      <c r="M230" s="1">
        <v>971.66666666666652</v>
      </c>
      <c r="N230" s="1">
        <v>2316.6666666666665</v>
      </c>
      <c r="O230" s="1">
        <v>22560</v>
      </c>
      <c r="P230" s="1">
        <v>9013.2066666666688</v>
      </c>
      <c r="Q230" s="1">
        <v>6696.5400000000027</v>
      </c>
      <c r="R230">
        <f>YEAR(tbl_daily[[#This Row],[Date]])</f>
        <v>2023</v>
      </c>
      <c r="S230" t="str">
        <f>TEXT(tbl_daily[[#This Row],[Date]],"mmmm")</f>
        <v>July</v>
      </c>
      <c r="T230">
        <f>MONTH(tbl_daily[[#This Row],[Date]])</f>
        <v>7</v>
      </c>
      <c r="U230" t="str">
        <f>"Q"&amp;ROUNDUP(MONTH(tbl_daily[[#This Row],[Date]])/3,0)</f>
        <v>Q3</v>
      </c>
      <c r="V230" t="str">
        <f>TEXT(tbl_daily[[#This Row],[Date]],"dddd")</f>
        <v>Sunday</v>
      </c>
      <c r="W230" t="str">
        <f t="shared" si="9"/>
        <v>Profitable</v>
      </c>
      <c r="X230">
        <f t="shared" si="10"/>
        <v>39.9521572104019</v>
      </c>
      <c r="Y230">
        <f t="shared" si="11"/>
        <v>29.683244680851072</v>
      </c>
    </row>
    <row r="231" spans="1:25">
      <c r="A231" s="3">
        <v>45138</v>
      </c>
      <c r="B231" s="1">
        <v>6232.8</v>
      </c>
      <c r="C231" s="1">
        <v>7290</v>
      </c>
      <c r="D231" s="1">
        <v>1057.1999999999998</v>
      </c>
      <c r="E231" s="1">
        <v>1663.2499999999998</v>
      </c>
      <c r="F231" s="1">
        <v>2500</v>
      </c>
      <c r="G231" s="1">
        <v>836.75000000000011</v>
      </c>
      <c r="H231" s="1">
        <v>105</v>
      </c>
      <c r="I231" s="1">
        <v>1150</v>
      </c>
      <c r="J231" s="1">
        <v>1045</v>
      </c>
      <c r="K231" s="1">
        <v>2252.4999999999995</v>
      </c>
      <c r="L231" s="1">
        <v>2850</v>
      </c>
      <c r="M231" s="1">
        <v>597.50000000000045</v>
      </c>
      <c r="N231" s="1">
        <v>2316.6666666666665</v>
      </c>
      <c r="O231" s="1">
        <v>13790</v>
      </c>
      <c r="P231" s="1">
        <v>3536.4500000000003</v>
      </c>
      <c r="Q231" s="1">
        <v>1219.7833333333338</v>
      </c>
      <c r="R231">
        <f>YEAR(tbl_daily[[#This Row],[Date]])</f>
        <v>2023</v>
      </c>
      <c r="S231" t="str">
        <f>TEXT(tbl_daily[[#This Row],[Date]],"mmmm")</f>
        <v>July</v>
      </c>
      <c r="T231">
        <f>MONTH(tbl_daily[[#This Row],[Date]])</f>
        <v>7</v>
      </c>
      <c r="U231" t="str">
        <f>"Q"&amp;ROUNDUP(MONTH(tbl_daily[[#This Row],[Date]])/3,0)</f>
        <v>Q3</v>
      </c>
      <c r="V231" t="str">
        <f>TEXT(tbl_daily[[#This Row],[Date]],"dddd")</f>
        <v>Monday</v>
      </c>
      <c r="W231" t="str">
        <f t="shared" si="9"/>
        <v>Profitable</v>
      </c>
      <c r="X231">
        <f t="shared" si="10"/>
        <v>25.645032632342279</v>
      </c>
      <c r="Y231">
        <f t="shared" si="11"/>
        <v>8.8454193860285262</v>
      </c>
    </row>
    <row r="232" spans="1:25">
      <c r="A232" s="3">
        <v>45139</v>
      </c>
      <c r="B232" s="1">
        <v>5172.2249999999995</v>
      </c>
      <c r="C232" s="1">
        <v>6190</v>
      </c>
      <c r="D232" s="1">
        <v>1017.7750000000004</v>
      </c>
      <c r="E232" s="1">
        <v>3327.7249999999999</v>
      </c>
      <c r="F232" s="1">
        <v>5900</v>
      </c>
      <c r="G232" s="1">
        <v>2572.2750000000001</v>
      </c>
      <c r="H232" s="1">
        <v>783</v>
      </c>
      <c r="I232" s="1">
        <v>2920</v>
      </c>
      <c r="J232" s="1">
        <v>2137</v>
      </c>
      <c r="K232" s="1">
        <v>3302.5</v>
      </c>
      <c r="L232" s="1">
        <v>4310</v>
      </c>
      <c r="M232" s="1">
        <v>1007.5</v>
      </c>
      <c r="N232" s="1">
        <v>2316.6666666666665</v>
      </c>
      <c r="O232" s="1">
        <v>19320</v>
      </c>
      <c r="P232" s="1">
        <v>6734.5500000000011</v>
      </c>
      <c r="Q232" s="1">
        <v>4417.883333333335</v>
      </c>
      <c r="R232">
        <f>YEAR(tbl_daily[[#This Row],[Date]])</f>
        <v>2023</v>
      </c>
      <c r="S232" t="str">
        <f>TEXT(tbl_daily[[#This Row],[Date]],"mmmm")</f>
        <v>August</v>
      </c>
      <c r="T232">
        <f>MONTH(tbl_daily[[#This Row],[Date]])</f>
        <v>8</v>
      </c>
      <c r="U232" t="str">
        <f>"Q"&amp;ROUNDUP(MONTH(tbl_daily[[#This Row],[Date]])/3,0)</f>
        <v>Q3</v>
      </c>
      <c r="V232" t="str">
        <f>TEXT(tbl_daily[[#This Row],[Date]],"dddd")</f>
        <v>Tuesday</v>
      </c>
      <c r="W232" t="str">
        <f t="shared" si="9"/>
        <v>Profitable</v>
      </c>
      <c r="X232">
        <f t="shared" si="10"/>
        <v>34.857919254658391</v>
      </c>
      <c r="Y232">
        <f t="shared" si="11"/>
        <v>22.866890959282273</v>
      </c>
    </row>
    <row r="233" spans="1:25">
      <c r="A233" s="3">
        <v>45140</v>
      </c>
      <c r="B233" s="1">
        <v>4654.0600000000004</v>
      </c>
      <c r="C233" s="1">
        <v>9130</v>
      </c>
      <c r="D233" s="1">
        <v>4475.9399999999996</v>
      </c>
      <c r="E233" s="1">
        <v>3762.95</v>
      </c>
      <c r="F233" s="1">
        <v>4900</v>
      </c>
      <c r="G233" s="1">
        <v>1137.0499999999995</v>
      </c>
      <c r="H233" s="1">
        <v>221</v>
      </c>
      <c r="I233" s="1">
        <v>2950</v>
      </c>
      <c r="J233" s="1">
        <v>2729</v>
      </c>
      <c r="K233" s="1">
        <v>2728.333333333333</v>
      </c>
      <c r="L233" s="1">
        <v>3590</v>
      </c>
      <c r="M233" s="1">
        <v>861.66666666666708</v>
      </c>
      <c r="N233" s="1">
        <v>2316.6666666666665</v>
      </c>
      <c r="O233" s="1">
        <v>20570</v>
      </c>
      <c r="P233" s="1">
        <v>9203.6566666666658</v>
      </c>
      <c r="Q233" s="1">
        <v>6886.99</v>
      </c>
      <c r="R233">
        <f>YEAR(tbl_daily[[#This Row],[Date]])</f>
        <v>2023</v>
      </c>
      <c r="S233" t="str">
        <f>TEXT(tbl_daily[[#This Row],[Date]],"mmmm")</f>
        <v>August</v>
      </c>
      <c r="T233">
        <f>MONTH(tbl_daily[[#This Row],[Date]])</f>
        <v>8</v>
      </c>
      <c r="U233" t="str">
        <f>"Q"&amp;ROUNDUP(MONTH(tbl_daily[[#This Row],[Date]])/3,0)</f>
        <v>Q3</v>
      </c>
      <c r="V233" t="str">
        <f>TEXT(tbl_daily[[#This Row],[Date]],"dddd")</f>
        <v>Wednesday</v>
      </c>
      <c r="W233" t="str">
        <f t="shared" si="9"/>
        <v>Profitable</v>
      </c>
      <c r="X233">
        <f t="shared" si="10"/>
        <v>44.743104845243877</v>
      </c>
      <c r="Y233">
        <f t="shared" si="11"/>
        <v>33.4807486631016</v>
      </c>
    </row>
    <row r="234" spans="1:25">
      <c r="A234" s="3">
        <v>45141</v>
      </c>
      <c r="B234" s="1">
        <v>3820.2849999999999</v>
      </c>
      <c r="C234" s="1">
        <v>5130</v>
      </c>
      <c r="D234" s="1">
        <v>1309.7149999999997</v>
      </c>
      <c r="E234" s="1">
        <v>2675.7</v>
      </c>
      <c r="F234" s="1">
        <v>2700</v>
      </c>
      <c r="G234" s="1">
        <v>24.300000000000185</v>
      </c>
      <c r="H234" s="1">
        <v>105</v>
      </c>
      <c r="I234" s="1">
        <v>1150</v>
      </c>
      <c r="J234" s="1">
        <v>1045</v>
      </c>
      <c r="K234" s="1">
        <v>3571.6666666666665</v>
      </c>
      <c r="L234" s="1">
        <v>4670</v>
      </c>
      <c r="M234" s="1">
        <v>1098.3333333333337</v>
      </c>
      <c r="N234" s="1">
        <v>2316.6666666666665</v>
      </c>
      <c r="O234" s="1">
        <v>13650</v>
      </c>
      <c r="P234" s="1">
        <v>3477.3483333333338</v>
      </c>
      <c r="Q234" s="1">
        <v>1160.6816666666668</v>
      </c>
      <c r="R234">
        <f>YEAR(tbl_daily[[#This Row],[Date]])</f>
        <v>2023</v>
      </c>
      <c r="S234" t="str">
        <f>TEXT(tbl_daily[[#This Row],[Date]],"mmmm")</f>
        <v>August</v>
      </c>
      <c r="T234">
        <f>MONTH(tbl_daily[[#This Row],[Date]])</f>
        <v>8</v>
      </c>
      <c r="U234" t="str">
        <f>"Q"&amp;ROUNDUP(MONTH(tbl_daily[[#This Row],[Date]])/3,0)</f>
        <v>Q3</v>
      </c>
      <c r="V234" t="str">
        <f>TEXT(tbl_daily[[#This Row],[Date]],"dddd")</f>
        <v>Thursday</v>
      </c>
      <c r="W234" t="str">
        <f t="shared" si="9"/>
        <v>Profitable</v>
      </c>
      <c r="X234">
        <f t="shared" si="10"/>
        <v>25.475079365079367</v>
      </c>
      <c r="Y234">
        <f t="shared" si="11"/>
        <v>8.5031623931623947</v>
      </c>
    </row>
    <row r="235" spans="1:25">
      <c r="A235" s="3">
        <v>45142</v>
      </c>
      <c r="B235" s="1">
        <v>5945.9699999999984</v>
      </c>
      <c r="C235" s="1">
        <v>11460</v>
      </c>
      <c r="D235" s="1">
        <v>5514.0300000000016</v>
      </c>
      <c r="E235" s="1">
        <v>4639.1250000000009</v>
      </c>
      <c r="F235" s="1">
        <v>7800</v>
      </c>
      <c r="G235" s="1">
        <v>3160.8749999999991</v>
      </c>
      <c r="H235" s="1">
        <v>210</v>
      </c>
      <c r="I235" s="1">
        <v>2050</v>
      </c>
      <c r="J235" s="1">
        <v>1840</v>
      </c>
      <c r="K235" s="1">
        <v>3417.4999999999995</v>
      </c>
      <c r="L235" s="1">
        <v>4390</v>
      </c>
      <c r="M235" s="1">
        <v>972.50000000000045</v>
      </c>
      <c r="N235" s="1">
        <v>2316.6666666666665</v>
      </c>
      <c r="O235" s="1">
        <v>25700</v>
      </c>
      <c r="P235" s="1">
        <v>11487.405000000001</v>
      </c>
      <c r="Q235" s="1">
        <v>9170.7383333333346</v>
      </c>
      <c r="R235">
        <f>YEAR(tbl_daily[[#This Row],[Date]])</f>
        <v>2023</v>
      </c>
      <c r="S235" t="str">
        <f>TEXT(tbl_daily[[#This Row],[Date]],"mmmm")</f>
        <v>August</v>
      </c>
      <c r="T235">
        <f>MONTH(tbl_daily[[#This Row],[Date]])</f>
        <v>8</v>
      </c>
      <c r="U235" t="str">
        <f>"Q"&amp;ROUNDUP(MONTH(tbl_daily[[#This Row],[Date]])/3,0)</f>
        <v>Q3</v>
      </c>
      <c r="V235" t="str">
        <f>TEXT(tbl_daily[[#This Row],[Date]],"dddd")</f>
        <v>Friday</v>
      </c>
      <c r="W235" t="str">
        <f t="shared" si="9"/>
        <v>Profitable</v>
      </c>
      <c r="X235">
        <f t="shared" si="10"/>
        <v>44.69807392996109</v>
      </c>
      <c r="Y235">
        <f t="shared" si="11"/>
        <v>35.683806744487683</v>
      </c>
    </row>
    <row r="236" spans="1:25">
      <c r="A236" s="3">
        <v>45143</v>
      </c>
      <c r="B236" s="1">
        <v>5388.7699999999986</v>
      </c>
      <c r="C236" s="1">
        <v>8850</v>
      </c>
      <c r="D236" s="1">
        <v>3461.2300000000014</v>
      </c>
      <c r="E236" s="1">
        <v>2556.4499999999998</v>
      </c>
      <c r="F236" s="1">
        <v>3600</v>
      </c>
      <c r="G236" s="1">
        <v>1043.5500000000002</v>
      </c>
      <c r="H236" s="1">
        <v>105</v>
      </c>
      <c r="I236" s="1">
        <v>900</v>
      </c>
      <c r="J236" s="1">
        <v>795</v>
      </c>
      <c r="K236" s="1">
        <v>4547.5</v>
      </c>
      <c r="L236" s="1">
        <v>5990</v>
      </c>
      <c r="M236" s="1">
        <v>1442.5</v>
      </c>
      <c r="N236" s="1">
        <v>2316.6666666666665</v>
      </c>
      <c r="O236" s="1">
        <v>19340</v>
      </c>
      <c r="P236" s="1">
        <v>6742.2800000000016</v>
      </c>
      <c r="Q236" s="1">
        <v>4425.6133333333346</v>
      </c>
      <c r="R236">
        <f>YEAR(tbl_daily[[#This Row],[Date]])</f>
        <v>2023</v>
      </c>
      <c r="S236" t="str">
        <f>TEXT(tbl_daily[[#This Row],[Date]],"mmmm")</f>
        <v>August</v>
      </c>
      <c r="T236">
        <f>MONTH(tbl_daily[[#This Row],[Date]])</f>
        <v>8</v>
      </c>
      <c r="U236" t="str">
        <f>"Q"&amp;ROUNDUP(MONTH(tbl_daily[[#This Row],[Date]])/3,0)</f>
        <v>Q3</v>
      </c>
      <c r="V236" t="str">
        <f>TEXT(tbl_daily[[#This Row],[Date]],"dddd")</f>
        <v>Saturday</v>
      </c>
      <c r="W236" t="str">
        <f t="shared" si="9"/>
        <v>Profitable</v>
      </c>
      <c r="X236">
        <f t="shared" si="10"/>
        <v>34.861840744570841</v>
      </c>
      <c r="Y236">
        <f t="shared" si="11"/>
        <v>22.883212685280942</v>
      </c>
    </row>
    <row r="237" spans="1:25">
      <c r="A237" s="3">
        <v>45144</v>
      </c>
      <c r="B237" s="1">
        <v>6778.8249999999989</v>
      </c>
      <c r="C237" s="1">
        <v>9910</v>
      </c>
      <c r="D237" s="1">
        <v>3131.1750000000011</v>
      </c>
      <c r="E237" s="1">
        <v>1810.4749999999999</v>
      </c>
      <c r="F237" s="1">
        <v>2400</v>
      </c>
      <c r="G237" s="1">
        <v>589.52500000000009</v>
      </c>
      <c r="H237" s="1">
        <v>35</v>
      </c>
      <c r="I237" s="1">
        <v>300</v>
      </c>
      <c r="J237" s="1">
        <v>265</v>
      </c>
      <c r="K237" s="1">
        <v>3127.4999999999995</v>
      </c>
      <c r="L237" s="1">
        <v>4190</v>
      </c>
      <c r="M237" s="1">
        <v>1062.5000000000005</v>
      </c>
      <c r="N237" s="1">
        <v>2316.6666666666665</v>
      </c>
      <c r="O237" s="1">
        <v>16800</v>
      </c>
      <c r="P237" s="1">
        <v>5048.2000000000016</v>
      </c>
      <c r="Q237" s="1">
        <v>2731.5333333333351</v>
      </c>
      <c r="R237">
        <f>YEAR(tbl_daily[[#This Row],[Date]])</f>
        <v>2023</v>
      </c>
      <c r="S237" t="str">
        <f>TEXT(tbl_daily[[#This Row],[Date]],"mmmm")</f>
        <v>August</v>
      </c>
      <c r="T237">
        <f>MONTH(tbl_daily[[#This Row],[Date]])</f>
        <v>8</v>
      </c>
      <c r="U237" t="str">
        <f>"Q"&amp;ROUNDUP(MONTH(tbl_daily[[#This Row],[Date]])/3,0)</f>
        <v>Q3</v>
      </c>
      <c r="V237" t="str">
        <f>TEXT(tbl_daily[[#This Row],[Date]],"dddd")</f>
        <v>Sunday</v>
      </c>
      <c r="W237" t="str">
        <f t="shared" si="9"/>
        <v>Profitable</v>
      </c>
      <c r="X237">
        <f t="shared" si="10"/>
        <v>30.048809523809535</v>
      </c>
      <c r="Y237">
        <f t="shared" si="11"/>
        <v>16.259126984126997</v>
      </c>
    </row>
    <row r="238" spans="1:25">
      <c r="A238" s="3">
        <v>45145</v>
      </c>
      <c r="B238" s="1">
        <v>6108.8050000000003</v>
      </c>
      <c r="C238" s="1">
        <v>5760</v>
      </c>
      <c r="D238" s="1">
        <v>-348.80500000000029</v>
      </c>
      <c r="E238" s="1">
        <v>4392.4000000000005</v>
      </c>
      <c r="F238" s="1">
        <v>7800</v>
      </c>
      <c r="G238" s="1">
        <v>3407.5999999999995</v>
      </c>
      <c r="H238" s="1">
        <v>356.86</v>
      </c>
      <c r="I238" s="1">
        <v>1950</v>
      </c>
      <c r="J238" s="1">
        <v>1593.1399999999999</v>
      </c>
      <c r="K238" s="1">
        <v>4403.333333333333</v>
      </c>
      <c r="L238" s="1">
        <v>5710</v>
      </c>
      <c r="M238" s="1">
        <v>1306.666666666667</v>
      </c>
      <c r="N238" s="1">
        <v>2316.6666666666665</v>
      </c>
      <c r="O238" s="1">
        <v>21220</v>
      </c>
      <c r="P238" s="1">
        <v>5958.6016666666665</v>
      </c>
      <c r="Q238" s="1">
        <v>3641.9349999999999</v>
      </c>
      <c r="R238">
        <f>YEAR(tbl_daily[[#This Row],[Date]])</f>
        <v>2023</v>
      </c>
      <c r="S238" t="str">
        <f>TEXT(tbl_daily[[#This Row],[Date]],"mmmm")</f>
        <v>August</v>
      </c>
      <c r="T238">
        <f>MONTH(tbl_daily[[#This Row],[Date]])</f>
        <v>8</v>
      </c>
      <c r="U238" t="str">
        <f>"Q"&amp;ROUNDUP(MONTH(tbl_daily[[#This Row],[Date]])/3,0)</f>
        <v>Q3</v>
      </c>
      <c r="V238" t="str">
        <f>TEXT(tbl_daily[[#This Row],[Date]],"dddd")</f>
        <v>Monday</v>
      </c>
      <c r="W238" t="str">
        <f t="shared" si="9"/>
        <v>Profitable</v>
      </c>
      <c r="X238">
        <f t="shared" si="10"/>
        <v>28.080120955073827</v>
      </c>
      <c r="Y238">
        <f t="shared" si="11"/>
        <v>17.16274740810556</v>
      </c>
    </row>
    <row r="239" spans="1:25">
      <c r="A239" s="3">
        <v>45146</v>
      </c>
      <c r="B239" s="1">
        <v>5766.3050000000012</v>
      </c>
      <c r="C239" s="1">
        <v>9030</v>
      </c>
      <c r="D239" s="1">
        <v>3263.6949999999988</v>
      </c>
      <c r="E239" s="1">
        <v>1588.5250000000003</v>
      </c>
      <c r="F239" s="1">
        <v>1400</v>
      </c>
      <c r="G239" s="1">
        <v>-188.52500000000032</v>
      </c>
      <c r="H239" s="1">
        <v>128</v>
      </c>
      <c r="I239" s="1">
        <v>1250</v>
      </c>
      <c r="J239" s="1">
        <v>1122</v>
      </c>
      <c r="K239" s="1">
        <v>3000.8333333333335</v>
      </c>
      <c r="L239" s="1">
        <v>3960</v>
      </c>
      <c r="M239" s="1">
        <v>959.16666666666652</v>
      </c>
      <c r="N239" s="1">
        <v>2316.6666666666665</v>
      </c>
      <c r="O239" s="1">
        <v>15640</v>
      </c>
      <c r="P239" s="1">
        <v>5156.3366666666643</v>
      </c>
      <c r="Q239" s="1">
        <v>2839.6699999999978</v>
      </c>
      <c r="R239">
        <f>YEAR(tbl_daily[[#This Row],[Date]])</f>
        <v>2023</v>
      </c>
      <c r="S239" t="str">
        <f>TEXT(tbl_daily[[#This Row],[Date]],"mmmm")</f>
        <v>August</v>
      </c>
      <c r="T239">
        <f>MONTH(tbl_daily[[#This Row],[Date]])</f>
        <v>8</v>
      </c>
      <c r="U239" t="str">
        <f>"Q"&amp;ROUNDUP(MONTH(tbl_daily[[#This Row],[Date]])/3,0)</f>
        <v>Q3</v>
      </c>
      <c r="V239" t="str">
        <f>TEXT(tbl_daily[[#This Row],[Date]],"dddd")</f>
        <v>Tuesday</v>
      </c>
      <c r="W239" t="str">
        <f t="shared" si="9"/>
        <v>Profitable</v>
      </c>
      <c r="X239">
        <f t="shared" si="10"/>
        <v>32.968904518329055</v>
      </c>
      <c r="Y239">
        <f t="shared" si="11"/>
        <v>18.156457800511493</v>
      </c>
    </row>
    <row r="240" spans="1:25">
      <c r="A240" s="3">
        <v>45147</v>
      </c>
      <c r="B240" s="1">
        <v>5715.8189999999995</v>
      </c>
      <c r="C240" s="1">
        <v>8860</v>
      </c>
      <c r="D240" s="1">
        <v>3144.1810000000005</v>
      </c>
      <c r="E240" s="1">
        <v>1919.45</v>
      </c>
      <c r="F240" s="1">
        <v>1700</v>
      </c>
      <c r="G240" s="1">
        <v>-219.44999999999985</v>
      </c>
      <c r="H240" s="1">
        <v>70</v>
      </c>
      <c r="I240" s="1">
        <v>600</v>
      </c>
      <c r="J240" s="1">
        <v>530</v>
      </c>
      <c r="K240" s="1">
        <v>3862.4999999999991</v>
      </c>
      <c r="L240" s="1">
        <v>5140</v>
      </c>
      <c r="M240" s="1">
        <v>1277.5000000000005</v>
      </c>
      <c r="N240" s="1">
        <v>2316.6666666666665</v>
      </c>
      <c r="O240" s="1">
        <v>16300</v>
      </c>
      <c r="P240" s="1">
        <v>4732.2310000000016</v>
      </c>
      <c r="Q240" s="1">
        <v>2415.5643333333351</v>
      </c>
      <c r="R240">
        <f>YEAR(tbl_daily[[#This Row],[Date]])</f>
        <v>2023</v>
      </c>
      <c r="S240" t="str">
        <f>TEXT(tbl_daily[[#This Row],[Date]],"mmmm")</f>
        <v>August</v>
      </c>
      <c r="T240">
        <f>MONTH(tbl_daily[[#This Row],[Date]])</f>
        <v>8</v>
      </c>
      <c r="U240" t="str">
        <f>"Q"&amp;ROUNDUP(MONTH(tbl_daily[[#This Row],[Date]])/3,0)</f>
        <v>Q3</v>
      </c>
      <c r="V240" t="str">
        <f>TEXT(tbl_daily[[#This Row],[Date]],"dddd")</f>
        <v>Wednesday</v>
      </c>
      <c r="W240" t="str">
        <f t="shared" si="9"/>
        <v>Profitable</v>
      </c>
      <c r="X240">
        <f t="shared" si="10"/>
        <v>29.032092024539885</v>
      </c>
      <c r="Y240">
        <f t="shared" si="11"/>
        <v>14.819413087934571</v>
      </c>
    </row>
    <row r="241" spans="1:25">
      <c r="A241" s="3">
        <v>45148</v>
      </c>
      <c r="B241" s="1">
        <v>4992.3960000000006</v>
      </c>
      <c r="C241" s="1">
        <v>5740</v>
      </c>
      <c r="D241" s="1">
        <v>747.60399999999936</v>
      </c>
      <c r="E241" s="1">
        <v>1950.8050000000001</v>
      </c>
      <c r="F241" s="1">
        <v>2300</v>
      </c>
      <c r="G241" s="1">
        <v>349.19499999999994</v>
      </c>
      <c r="H241" s="1">
        <v>105</v>
      </c>
      <c r="I241" s="1">
        <v>1150</v>
      </c>
      <c r="J241" s="1">
        <v>1045</v>
      </c>
      <c r="K241" s="1">
        <v>2878.3333333333339</v>
      </c>
      <c r="L241" s="1">
        <v>3840</v>
      </c>
      <c r="M241" s="1">
        <v>961.66666666666606</v>
      </c>
      <c r="N241" s="1">
        <v>2316.6666666666665</v>
      </c>
      <c r="O241" s="1">
        <v>13030</v>
      </c>
      <c r="P241" s="1">
        <v>3103.4656666666651</v>
      </c>
      <c r="Q241" s="1">
        <v>786.79899999999861</v>
      </c>
      <c r="R241">
        <f>YEAR(tbl_daily[[#This Row],[Date]])</f>
        <v>2023</v>
      </c>
      <c r="S241" t="str">
        <f>TEXT(tbl_daily[[#This Row],[Date]],"mmmm")</f>
        <v>August</v>
      </c>
      <c r="T241">
        <f>MONTH(tbl_daily[[#This Row],[Date]])</f>
        <v>8</v>
      </c>
      <c r="U241" t="str">
        <f>"Q"&amp;ROUNDUP(MONTH(tbl_daily[[#This Row],[Date]])/3,0)</f>
        <v>Q3</v>
      </c>
      <c r="V241" t="str">
        <f>TEXT(tbl_daily[[#This Row],[Date]],"dddd")</f>
        <v>Thursday</v>
      </c>
      <c r="W241" t="str">
        <f t="shared" si="9"/>
        <v>Profitable</v>
      </c>
      <c r="X241">
        <f t="shared" si="10"/>
        <v>23.817848554617537</v>
      </c>
      <c r="Y241">
        <f t="shared" si="11"/>
        <v>6.0383653108211712</v>
      </c>
    </row>
    <row r="242" spans="1:25">
      <c r="A242" s="3">
        <v>45149</v>
      </c>
      <c r="B242" s="1">
        <v>5084.1449999999995</v>
      </c>
      <c r="C242" s="1">
        <v>10350</v>
      </c>
      <c r="D242" s="1">
        <v>5265.8550000000005</v>
      </c>
      <c r="E242" s="1">
        <v>1609.5750000000005</v>
      </c>
      <c r="F242" s="1">
        <v>2300</v>
      </c>
      <c r="G242" s="1">
        <v>690.42499999999973</v>
      </c>
      <c r="H242" s="1">
        <v>0</v>
      </c>
      <c r="I242" s="1">
        <v>0</v>
      </c>
      <c r="J242" s="1">
        <v>0</v>
      </c>
      <c r="K242" s="1">
        <v>2078.3333333333335</v>
      </c>
      <c r="L242" s="1">
        <v>2920</v>
      </c>
      <c r="M242" s="1">
        <v>841.66666666666652</v>
      </c>
      <c r="N242" s="1">
        <v>2316.6666666666665</v>
      </c>
      <c r="O242" s="1">
        <v>15570</v>
      </c>
      <c r="P242" s="1">
        <v>6797.9466666666667</v>
      </c>
      <c r="Q242" s="1">
        <v>4481.2800000000007</v>
      </c>
      <c r="R242">
        <f>YEAR(tbl_daily[[#This Row],[Date]])</f>
        <v>2023</v>
      </c>
      <c r="S242" t="str">
        <f>TEXT(tbl_daily[[#This Row],[Date]],"mmmm")</f>
        <v>August</v>
      </c>
      <c r="T242">
        <f>MONTH(tbl_daily[[#This Row],[Date]])</f>
        <v>8</v>
      </c>
      <c r="U242" t="str">
        <f>"Q"&amp;ROUNDUP(MONTH(tbl_daily[[#This Row],[Date]])/3,0)</f>
        <v>Q3</v>
      </c>
      <c r="V242" t="str">
        <f>TEXT(tbl_daily[[#This Row],[Date]],"dddd")</f>
        <v>Friday</v>
      </c>
      <c r="W242" t="str">
        <f t="shared" si="9"/>
        <v>Profitable</v>
      </c>
      <c r="X242">
        <f t="shared" si="10"/>
        <v>43.660543780774994</v>
      </c>
      <c r="Y242">
        <f t="shared" si="11"/>
        <v>28.781502890173417</v>
      </c>
    </row>
    <row r="243" spans="1:25">
      <c r="A243" s="3">
        <v>45150</v>
      </c>
      <c r="B243" s="1">
        <v>5927.329999999999</v>
      </c>
      <c r="C243" s="1">
        <v>6990</v>
      </c>
      <c r="D243" s="1">
        <v>1062.670000000001</v>
      </c>
      <c r="E243" s="1">
        <v>1926.925</v>
      </c>
      <c r="F243" s="1">
        <v>2100</v>
      </c>
      <c r="G243" s="1">
        <v>173.07500000000005</v>
      </c>
      <c r="H243" s="1">
        <v>70</v>
      </c>
      <c r="I243" s="1">
        <v>300</v>
      </c>
      <c r="J243" s="1">
        <v>230</v>
      </c>
      <c r="K243" s="1">
        <v>3352.5</v>
      </c>
      <c r="L243" s="1">
        <v>3830</v>
      </c>
      <c r="M243" s="1">
        <v>477.5</v>
      </c>
      <c r="N243" s="1">
        <v>2316.6666666666665</v>
      </c>
      <c r="O243" s="1">
        <v>13220</v>
      </c>
      <c r="P243" s="1">
        <v>1943.245000000001</v>
      </c>
      <c r="Q243" s="1">
        <v>-373.42166666666554</v>
      </c>
      <c r="R243">
        <f>YEAR(tbl_daily[[#This Row],[Date]])</f>
        <v>2023</v>
      </c>
      <c r="S243" t="str">
        <f>TEXT(tbl_daily[[#This Row],[Date]],"mmmm")</f>
        <v>August</v>
      </c>
      <c r="T243">
        <f>MONTH(tbl_daily[[#This Row],[Date]])</f>
        <v>8</v>
      </c>
      <c r="U243" t="str">
        <f>"Q"&amp;ROUNDUP(MONTH(tbl_daily[[#This Row],[Date]])/3,0)</f>
        <v>Q3</v>
      </c>
      <c r="V243" t="str">
        <f>TEXT(tbl_daily[[#This Row],[Date]],"dddd")</f>
        <v>Saturday</v>
      </c>
      <c r="W243" t="str">
        <f t="shared" si="9"/>
        <v>Loss</v>
      </c>
      <c r="X243">
        <f t="shared" si="10"/>
        <v>14.699281391830569</v>
      </c>
      <c r="Y243">
        <f t="shared" si="11"/>
        <v>-2.8246722138174398</v>
      </c>
    </row>
    <row r="244" spans="1:25">
      <c r="A244" s="3">
        <v>45151</v>
      </c>
      <c r="B244" s="1">
        <v>5174.9100000000026</v>
      </c>
      <c r="C244" s="1">
        <v>6900</v>
      </c>
      <c r="D244" s="1">
        <v>1725.0899999999974</v>
      </c>
      <c r="E244" s="1">
        <v>4036.32</v>
      </c>
      <c r="F244" s="1">
        <v>6300</v>
      </c>
      <c r="G244" s="1">
        <v>2263.6800000000003</v>
      </c>
      <c r="H244" s="1">
        <v>186</v>
      </c>
      <c r="I244" s="1">
        <v>1900</v>
      </c>
      <c r="J244" s="1">
        <v>1714</v>
      </c>
      <c r="K244" s="1">
        <v>3346.6666666666665</v>
      </c>
      <c r="L244" s="1">
        <v>4600</v>
      </c>
      <c r="M244" s="1">
        <v>1253.3333333333337</v>
      </c>
      <c r="N244" s="1">
        <v>2316.6666666666665</v>
      </c>
      <c r="O244" s="1">
        <v>19700</v>
      </c>
      <c r="P244" s="1">
        <v>6956.1033333333307</v>
      </c>
      <c r="Q244" s="1">
        <v>4639.4366666666647</v>
      </c>
      <c r="R244">
        <f>YEAR(tbl_daily[[#This Row],[Date]])</f>
        <v>2023</v>
      </c>
      <c r="S244" t="str">
        <f>TEXT(tbl_daily[[#This Row],[Date]],"mmmm")</f>
        <v>August</v>
      </c>
      <c r="T244">
        <f>MONTH(tbl_daily[[#This Row],[Date]])</f>
        <v>8</v>
      </c>
      <c r="U244" t="str">
        <f>"Q"&amp;ROUNDUP(MONTH(tbl_daily[[#This Row],[Date]])/3,0)</f>
        <v>Q3</v>
      </c>
      <c r="V244" t="str">
        <f>TEXT(tbl_daily[[#This Row],[Date]],"dddd")</f>
        <v>Sunday</v>
      </c>
      <c r="W244" t="str">
        <f t="shared" si="9"/>
        <v>Profitable</v>
      </c>
      <c r="X244">
        <f t="shared" si="10"/>
        <v>35.310169204737718</v>
      </c>
      <c r="Y244">
        <f t="shared" si="11"/>
        <v>23.550439932318096</v>
      </c>
    </row>
    <row r="245" spans="1:25">
      <c r="A245" s="3">
        <v>45152</v>
      </c>
      <c r="B245" s="1">
        <v>8852.2199999999975</v>
      </c>
      <c r="C245" s="1">
        <v>10750</v>
      </c>
      <c r="D245" s="1">
        <v>1897.7800000000025</v>
      </c>
      <c r="E245" s="1">
        <v>4534.76</v>
      </c>
      <c r="F245" s="1">
        <v>6500</v>
      </c>
      <c r="G245" s="1">
        <v>1965.24</v>
      </c>
      <c r="H245" s="1">
        <v>46</v>
      </c>
      <c r="I245" s="1">
        <v>700</v>
      </c>
      <c r="J245" s="1">
        <v>654</v>
      </c>
      <c r="K245" s="1">
        <v>2179.1666666666665</v>
      </c>
      <c r="L245" s="1">
        <v>3000</v>
      </c>
      <c r="M245" s="1">
        <v>820.83333333333348</v>
      </c>
      <c r="N245" s="1">
        <v>2316.6666666666665</v>
      </c>
      <c r="O245" s="1">
        <v>20950</v>
      </c>
      <c r="P245" s="1">
        <v>5337.8533333333362</v>
      </c>
      <c r="Q245" s="1">
        <v>3021.1866666666697</v>
      </c>
      <c r="R245">
        <f>YEAR(tbl_daily[[#This Row],[Date]])</f>
        <v>2023</v>
      </c>
      <c r="S245" t="str">
        <f>TEXT(tbl_daily[[#This Row],[Date]],"mmmm")</f>
        <v>August</v>
      </c>
      <c r="T245">
        <f>MONTH(tbl_daily[[#This Row],[Date]])</f>
        <v>8</v>
      </c>
      <c r="U245" t="str">
        <f>"Q"&amp;ROUNDUP(MONTH(tbl_daily[[#This Row],[Date]])/3,0)</f>
        <v>Q3</v>
      </c>
      <c r="V245" t="str">
        <f>TEXT(tbl_daily[[#This Row],[Date]],"dddd")</f>
        <v>Monday</v>
      </c>
      <c r="W245" t="str">
        <f t="shared" si="9"/>
        <v>Profitable</v>
      </c>
      <c r="X245">
        <f t="shared" si="10"/>
        <v>25.479013524264133</v>
      </c>
      <c r="Y245">
        <f t="shared" si="11"/>
        <v>14.420938743038997</v>
      </c>
    </row>
    <row r="246" spans="1:25">
      <c r="A246" s="3">
        <v>45153</v>
      </c>
      <c r="B246" s="1">
        <v>5198.2400000000007</v>
      </c>
      <c r="C246" s="1">
        <v>8680</v>
      </c>
      <c r="D246" s="1">
        <v>3481.7599999999993</v>
      </c>
      <c r="E246" s="1">
        <v>1710.2250000000004</v>
      </c>
      <c r="F246" s="1">
        <v>1700</v>
      </c>
      <c r="G246" s="1">
        <v>-10.225000000000364</v>
      </c>
      <c r="H246" s="1">
        <v>35</v>
      </c>
      <c r="I246" s="1">
        <v>550</v>
      </c>
      <c r="J246" s="1">
        <v>515</v>
      </c>
      <c r="K246" s="1">
        <v>2376.6666666666665</v>
      </c>
      <c r="L246" s="1">
        <v>3280</v>
      </c>
      <c r="M246" s="1">
        <v>903.33333333333348</v>
      </c>
      <c r="N246" s="1">
        <v>2316.6666666666665</v>
      </c>
      <c r="O246" s="1">
        <v>14210</v>
      </c>
      <c r="P246" s="1">
        <v>4889.868333333332</v>
      </c>
      <c r="Q246" s="1">
        <v>2573.2016666666655</v>
      </c>
      <c r="R246">
        <f>YEAR(tbl_daily[[#This Row],[Date]])</f>
        <v>2023</v>
      </c>
      <c r="S246" t="str">
        <f>TEXT(tbl_daily[[#This Row],[Date]],"mmmm")</f>
        <v>August</v>
      </c>
      <c r="T246">
        <f>MONTH(tbl_daily[[#This Row],[Date]])</f>
        <v>8</v>
      </c>
      <c r="U246" t="str">
        <f>"Q"&amp;ROUNDUP(MONTH(tbl_daily[[#This Row],[Date]])/3,0)</f>
        <v>Q3</v>
      </c>
      <c r="V246" t="str">
        <f>TEXT(tbl_daily[[#This Row],[Date]],"dddd")</f>
        <v>Tuesday</v>
      </c>
      <c r="W246" t="str">
        <f t="shared" si="9"/>
        <v>Profitable</v>
      </c>
      <c r="X246">
        <f t="shared" si="10"/>
        <v>34.411459066385163</v>
      </c>
      <c r="Y246">
        <f t="shared" si="11"/>
        <v>18.108386113065908</v>
      </c>
    </row>
    <row r="247" spans="1:25">
      <c r="A247" s="3">
        <v>45154</v>
      </c>
      <c r="B247" s="1">
        <v>6455.53</v>
      </c>
      <c r="C247" s="1">
        <v>9440</v>
      </c>
      <c r="D247" s="1">
        <v>2984.4700000000003</v>
      </c>
      <c r="E247" s="1">
        <v>3992.4749999999999</v>
      </c>
      <c r="F247" s="1">
        <v>4100</v>
      </c>
      <c r="G247" s="1">
        <v>107.52500000000008</v>
      </c>
      <c r="H247" s="1">
        <v>232</v>
      </c>
      <c r="I247" s="1">
        <v>2600</v>
      </c>
      <c r="J247" s="1">
        <v>2368</v>
      </c>
      <c r="K247" s="1">
        <v>4180</v>
      </c>
      <c r="L247" s="1">
        <v>5180</v>
      </c>
      <c r="M247" s="1">
        <v>1000</v>
      </c>
      <c r="N247" s="1">
        <v>2316.6666666666665</v>
      </c>
      <c r="O247" s="1">
        <v>21320</v>
      </c>
      <c r="P247" s="1">
        <v>6459.9950000000008</v>
      </c>
      <c r="Q247" s="1">
        <v>4143.3283333333347</v>
      </c>
      <c r="R247">
        <f>YEAR(tbl_daily[[#This Row],[Date]])</f>
        <v>2023</v>
      </c>
      <c r="S247" t="str">
        <f>TEXT(tbl_daily[[#This Row],[Date]],"mmmm")</f>
        <v>August</v>
      </c>
      <c r="T247">
        <f>MONTH(tbl_daily[[#This Row],[Date]])</f>
        <v>8</v>
      </c>
      <c r="U247" t="str">
        <f>"Q"&amp;ROUNDUP(MONTH(tbl_daily[[#This Row],[Date]])/3,0)</f>
        <v>Q3</v>
      </c>
      <c r="V247" t="str">
        <f>TEXT(tbl_daily[[#This Row],[Date]],"dddd")</f>
        <v>Wednesday</v>
      </c>
      <c r="W247" t="str">
        <f t="shared" si="9"/>
        <v>Profitable</v>
      </c>
      <c r="X247">
        <f t="shared" si="10"/>
        <v>30.300164165103194</v>
      </c>
      <c r="Y247">
        <f t="shared" si="11"/>
        <v>19.433997811131963</v>
      </c>
    </row>
    <row r="248" spans="1:25">
      <c r="A248" s="3">
        <v>45155</v>
      </c>
      <c r="B248" s="1">
        <v>6074.6090000000004</v>
      </c>
      <c r="C248" s="1">
        <v>9290</v>
      </c>
      <c r="D248" s="1">
        <v>3215.3909999999996</v>
      </c>
      <c r="E248" s="1">
        <v>3482.28</v>
      </c>
      <c r="F248" s="1">
        <v>5970</v>
      </c>
      <c r="G248" s="1">
        <v>2487.7199999999998</v>
      </c>
      <c r="H248" s="1">
        <v>0</v>
      </c>
      <c r="I248" s="1">
        <v>0</v>
      </c>
      <c r="J248" s="1">
        <v>0</v>
      </c>
      <c r="K248" s="1">
        <v>2018.3333333333337</v>
      </c>
      <c r="L248" s="1">
        <v>2520</v>
      </c>
      <c r="M248" s="1">
        <v>501.66666666666657</v>
      </c>
      <c r="N248" s="1">
        <v>2150</v>
      </c>
      <c r="O248" s="1">
        <v>17780</v>
      </c>
      <c r="P248" s="1">
        <v>6204.777666666665</v>
      </c>
      <c r="Q248" s="1">
        <v>4054.777666666665</v>
      </c>
      <c r="R248">
        <f>YEAR(tbl_daily[[#This Row],[Date]])</f>
        <v>2023</v>
      </c>
      <c r="S248" t="str">
        <f>TEXT(tbl_daily[[#This Row],[Date]],"mmmm")</f>
        <v>August</v>
      </c>
      <c r="T248">
        <f>MONTH(tbl_daily[[#This Row],[Date]])</f>
        <v>8</v>
      </c>
      <c r="U248" t="str">
        <f>"Q"&amp;ROUNDUP(MONTH(tbl_daily[[#This Row],[Date]])/3,0)</f>
        <v>Q3</v>
      </c>
      <c r="V248" t="str">
        <f>TEXT(tbl_daily[[#This Row],[Date]],"dddd")</f>
        <v>Thursday</v>
      </c>
      <c r="W248" t="str">
        <f t="shared" si="9"/>
        <v>Profitable</v>
      </c>
      <c r="X248">
        <f t="shared" si="10"/>
        <v>34.897512185976744</v>
      </c>
      <c r="Y248">
        <f t="shared" si="11"/>
        <v>22.805273715785518</v>
      </c>
    </row>
    <row r="249" spans="1:25">
      <c r="A249" s="3">
        <v>45156</v>
      </c>
      <c r="B249" s="1">
        <v>5398.5309999999999</v>
      </c>
      <c r="C249" s="1">
        <v>7120</v>
      </c>
      <c r="D249" s="1">
        <v>1721.4690000000001</v>
      </c>
      <c r="E249" s="1">
        <v>2871.7799999999993</v>
      </c>
      <c r="F249" s="1">
        <v>4670</v>
      </c>
      <c r="G249" s="1">
        <v>1798.2200000000007</v>
      </c>
      <c r="H249" s="1">
        <v>40.938000000000002</v>
      </c>
      <c r="I249" s="1">
        <v>550</v>
      </c>
      <c r="J249" s="1">
        <v>509.06200000000001</v>
      </c>
      <c r="K249" s="1">
        <v>3458.333333333333</v>
      </c>
      <c r="L249" s="1">
        <v>4310</v>
      </c>
      <c r="M249" s="1">
        <v>851.66666666666708</v>
      </c>
      <c r="N249" s="1">
        <v>2150</v>
      </c>
      <c r="O249" s="1">
        <v>16650</v>
      </c>
      <c r="P249" s="1">
        <v>4880.4176666666681</v>
      </c>
      <c r="Q249" s="1">
        <v>2730.4176666666681</v>
      </c>
      <c r="R249">
        <f>YEAR(tbl_daily[[#This Row],[Date]])</f>
        <v>2023</v>
      </c>
      <c r="S249" t="str">
        <f>TEXT(tbl_daily[[#This Row],[Date]],"mmmm")</f>
        <v>August</v>
      </c>
      <c r="T249">
        <f>MONTH(tbl_daily[[#This Row],[Date]])</f>
        <v>8</v>
      </c>
      <c r="U249" t="str">
        <f>"Q"&amp;ROUNDUP(MONTH(tbl_daily[[#This Row],[Date]])/3,0)</f>
        <v>Q3</v>
      </c>
      <c r="V249" t="str">
        <f>TEXT(tbl_daily[[#This Row],[Date]],"dddd")</f>
        <v>Friday</v>
      </c>
      <c r="W249" t="str">
        <f t="shared" si="9"/>
        <v>Profitable</v>
      </c>
      <c r="X249">
        <f t="shared" si="10"/>
        <v>29.311817817817825</v>
      </c>
      <c r="Y249">
        <f t="shared" si="11"/>
        <v>16.398904904904914</v>
      </c>
    </row>
    <row r="250" spans="1:25">
      <c r="A250" s="3">
        <v>45157</v>
      </c>
      <c r="B250" s="1">
        <v>6037.5800000000017</v>
      </c>
      <c r="C250" s="1">
        <v>9500</v>
      </c>
      <c r="D250" s="1">
        <v>3462.4199999999983</v>
      </c>
      <c r="E250" s="1">
        <v>3243.13</v>
      </c>
      <c r="F250" s="1">
        <v>7000</v>
      </c>
      <c r="G250" s="1">
        <v>3756.87</v>
      </c>
      <c r="H250" s="1">
        <v>23.033750000000001</v>
      </c>
      <c r="I250" s="1">
        <v>350</v>
      </c>
      <c r="J250" s="1">
        <v>326.96625</v>
      </c>
      <c r="K250" s="1">
        <v>3863.333333333333</v>
      </c>
      <c r="L250" s="1">
        <v>4840</v>
      </c>
      <c r="M250" s="1">
        <v>976.66666666666708</v>
      </c>
      <c r="N250" s="1">
        <v>2150</v>
      </c>
      <c r="O250" s="1">
        <v>21690</v>
      </c>
      <c r="P250" s="1">
        <v>8522.9229166666664</v>
      </c>
      <c r="Q250" s="1">
        <v>6372.9229166666664</v>
      </c>
      <c r="R250">
        <f>YEAR(tbl_daily[[#This Row],[Date]])</f>
        <v>2023</v>
      </c>
      <c r="S250" t="str">
        <f>TEXT(tbl_daily[[#This Row],[Date]],"mmmm")</f>
        <v>August</v>
      </c>
      <c r="T250">
        <f>MONTH(tbl_daily[[#This Row],[Date]])</f>
        <v>8</v>
      </c>
      <c r="U250" t="str">
        <f>"Q"&amp;ROUNDUP(MONTH(tbl_daily[[#This Row],[Date]])/3,0)</f>
        <v>Q3</v>
      </c>
      <c r="V250" t="str">
        <f>TEXT(tbl_daily[[#This Row],[Date]],"dddd")</f>
        <v>Saturday</v>
      </c>
      <c r="W250" t="str">
        <f t="shared" si="9"/>
        <v>Profitable</v>
      </c>
      <c r="X250">
        <f t="shared" si="10"/>
        <v>39.294250422621793</v>
      </c>
      <c r="Y250">
        <f t="shared" si="11"/>
        <v>29.381848394037192</v>
      </c>
    </row>
    <row r="251" spans="1:25">
      <c r="A251" s="3">
        <v>45158</v>
      </c>
      <c r="B251" s="1">
        <v>6215.5949999999984</v>
      </c>
      <c r="C251" s="1">
        <v>3500</v>
      </c>
      <c r="D251" s="1">
        <v>-2715.5949999999984</v>
      </c>
      <c r="E251" s="1">
        <v>5289.4599999999982</v>
      </c>
      <c r="F251" s="1">
        <v>8740</v>
      </c>
      <c r="G251" s="1">
        <v>3450.5400000000018</v>
      </c>
      <c r="H251" s="1">
        <v>103.90525000000004</v>
      </c>
      <c r="I251" s="1">
        <v>1050</v>
      </c>
      <c r="J251" s="1">
        <v>946.09474999999998</v>
      </c>
      <c r="K251" s="1">
        <v>3511.666666666667</v>
      </c>
      <c r="L251" s="1">
        <v>4410</v>
      </c>
      <c r="M251" s="1">
        <v>898.33333333333292</v>
      </c>
      <c r="N251" s="1">
        <v>2150</v>
      </c>
      <c r="O251" s="1">
        <v>17700</v>
      </c>
      <c r="P251" s="1">
        <v>2579.3730833333366</v>
      </c>
      <c r="Q251" s="1">
        <v>429.37308333333658</v>
      </c>
      <c r="R251">
        <f>YEAR(tbl_daily[[#This Row],[Date]])</f>
        <v>2023</v>
      </c>
      <c r="S251" t="str">
        <f>TEXT(tbl_daily[[#This Row],[Date]],"mmmm")</f>
        <v>August</v>
      </c>
      <c r="T251">
        <f>MONTH(tbl_daily[[#This Row],[Date]])</f>
        <v>8</v>
      </c>
      <c r="U251" t="str">
        <f>"Q"&amp;ROUNDUP(MONTH(tbl_daily[[#This Row],[Date]])/3,0)</f>
        <v>Q3</v>
      </c>
      <c r="V251" t="str">
        <f>TEXT(tbl_daily[[#This Row],[Date]],"dddd")</f>
        <v>Sunday</v>
      </c>
      <c r="W251" t="str">
        <f t="shared" si="9"/>
        <v>Profitable</v>
      </c>
      <c r="X251">
        <f t="shared" si="10"/>
        <v>14.572729284369132</v>
      </c>
      <c r="Y251">
        <f t="shared" si="11"/>
        <v>2.4258366290019016</v>
      </c>
    </row>
    <row r="252" spans="1:25">
      <c r="A252" s="3">
        <v>45159</v>
      </c>
      <c r="B252" s="1">
        <v>5295.6200000000008</v>
      </c>
      <c r="C252" s="1">
        <v>7360</v>
      </c>
      <c r="D252" s="1">
        <v>2064.3799999999992</v>
      </c>
      <c r="E252" s="1">
        <v>3641.2750000000001</v>
      </c>
      <c r="F252" s="1">
        <v>5000</v>
      </c>
      <c r="G252" s="1">
        <v>1358.7250000000004</v>
      </c>
      <c r="H252" s="1">
        <v>159.51650000000001</v>
      </c>
      <c r="I252" s="1">
        <v>2000</v>
      </c>
      <c r="J252" s="1">
        <v>1840.4835</v>
      </c>
      <c r="K252" s="1">
        <v>3340</v>
      </c>
      <c r="L252" s="1">
        <v>4180</v>
      </c>
      <c r="M252" s="1">
        <v>840</v>
      </c>
      <c r="N252" s="1">
        <v>2150</v>
      </c>
      <c r="O252" s="1">
        <v>18540</v>
      </c>
      <c r="P252" s="1">
        <v>6103.5884999999998</v>
      </c>
      <c r="Q252" s="1">
        <v>3953.5884999999998</v>
      </c>
      <c r="R252">
        <f>YEAR(tbl_daily[[#This Row],[Date]])</f>
        <v>2023</v>
      </c>
      <c r="S252" t="str">
        <f>TEXT(tbl_daily[[#This Row],[Date]],"mmmm")</f>
        <v>August</v>
      </c>
      <c r="T252">
        <f>MONTH(tbl_daily[[#This Row],[Date]])</f>
        <v>8</v>
      </c>
      <c r="U252" t="str">
        <f>"Q"&amp;ROUNDUP(MONTH(tbl_daily[[#This Row],[Date]])/3,0)</f>
        <v>Q3</v>
      </c>
      <c r="V252" t="str">
        <f>TEXT(tbl_daily[[#This Row],[Date]],"dddd")</f>
        <v>Monday</v>
      </c>
      <c r="W252" t="str">
        <f t="shared" si="9"/>
        <v>Profitable</v>
      </c>
      <c r="X252">
        <f t="shared" si="10"/>
        <v>32.921189320388351</v>
      </c>
      <c r="Y252">
        <f t="shared" si="11"/>
        <v>21.324641316073354</v>
      </c>
    </row>
    <row r="253" spans="1:25">
      <c r="A253" s="3">
        <v>45160</v>
      </c>
      <c r="B253" s="1">
        <v>6113.7749999999987</v>
      </c>
      <c r="C253" s="1">
        <v>5780</v>
      </c>
      <c r="D253" s="1">
        <v>-333.77499999999873</v>
      </c>
      <c r="E253" s="1">
        <v>4094.9750000000008</v>
      </c>
      <c r="F253" s="1">
        <v>6000</v>
      </c>
      <c r="G253" s="1">
        <v>1905.0249999999992</v>
      </c>
      <c r="H253" s="1">
        <v>428.97474999999997</v>
      </c>
      <c r="I253" s="1">
        <v>3100</v>
      </c>
      <c r="J253" s="1">
        <v>2671.0252499999997</v>
      </c>
      <c r="K253" s="1">
        <v>3346.6666666666665</v>
      </c>
      <c r="L253" s="1">
        <v>4200</v>
      </c>
      <c r="M253" s="1">
        <v>853.33333333333348</v>
      </c>
      <c r="N253" s="1">
        <v>2150</v>
      </c>
      <c r="O253" s="1">
        <v>19080</v>
      </c>
      <c r="P253" s="1">
        <v>5095.6085833333345</v>
      </c>
      <c r="Q253" s="1">
        <v>2945.6085833333345</v>
      </c>
      <c r="R253">
        <f>YEAR(tbl_daily[[#This Row],[Date]])</f>
        <v>2023</v>
      </c>
      <c r="S253" t="str">
        <f>TEXT(tbl_daily[[#This Row],[Date]],"mmmm")</f>
        <v>August</v>
      </c>
      <c r="T253">
        <f>MONTH(tbl_daily[[#This Row],[Date]])</f>
        <v>8</v>
      </c>
      <c r="U253" t="str">
        <f>"Q"&amp;ROUNDUP(MONTH(tbl_daily[[#This Row],[Date]])/3,0)</f>
        <v>Q3</v>
      </c>
      <c r="V253" t="str">
        <f>TEXT(tbl_daily[[#This Row],[Date]],"dddd")</f>
        <v>Tuesday</v>
      </c>
      <c r="W253" t="str">
        <f t="shared" si="9"/>
        <v>Profitable</v>
      </c>
      <c r="X253">
        <f t="shared" si="10"/>
        <v>26.706543937805737</v>
      </c>
      <c r="Y253">
        <f t="shared" si="11"/>
        <v>15.438200122292109</v>
      </c>
    </row>
    <row r="254" spans="1:25">
      <c r="A254" s="3">
        <v>45161</v>
      </c>
      <c r="B254" s="1">
        <v>4009.43</v>
      </c>
      <c r="C254" s="1">
        <v>6860</v>
      </c>
      <c r="D254" s="1">
        <v>2850.57</v>
      </c>
      <c r="E254" s="1">
        <v>2317.6499999999996</v>
      </c>
      <c r="F254" s="1">
        <v>2500</v>
      </c>
      <c r="G254" s="1">
        <v>182.35000000000036</v>
      </c>
      <c r="H254" s="1">
        <v>-1668.3767500000001</v>
      </c>
      <c r="I254" s="1">
        <v>2350</v>
      </c>
      <c r="J254" s="1">
        <v>4018.3767500000004</v>
      </c>
      <c r="K254" s="1">
        <v>2063.3333333333335</v>
      </c>
      <c r="L254" s="1">
        <v>2570</v>
      </c>
      <c r="M254" s="1">
        <v>506.66666666666657</v>
      </c>
      <c r="N254" s="1">
        <v>2150</v>
      </c>
      <c r="O254" s="1">
        <v>14280</v>
      </c>
      <c r="P254" s="1">
        <v>7557.9634166666674</v>
      </c>
      <c r="Q254" s="1">
        <v>5407.9634166666674</v>
      </c>
      <c r="R254">
        <f>YEAR(tbl_daily[[#This Row],[Date]])</f>
        <v>2023</v>
      </c>
      <c r="S254" t="str">
        <f>TEXT(tbl_daily[[#This Row],[Date]],"mmmm")</f>
        <v>August</v>
      </c>
      <c r="T254">
        <f>MONTH(tbl_daily[[#This Row],[Date]])</f>
        <v>8</v>
      </c>
      <c r="U254" t="str">
        <f>"Q"&amp;ROUNDUP(MONTH(tbl_daily[[#This Row],[Date]])/3,0)</f>
        <v>Q3</v>
      </c>
      <c r="V254" t="str">
        <f>TEXT(tbl_daily[[#This Row],[Date]],"dddd")</f>
        <v>Wednesday</v>
      </c>
      <c r="W254" t="str">
        <f t="shared" si="9"/>
        <v>Profitable</v>
      </c>
      <c r="X254">
        <f t="shared" si="10"/>
        <v>52.926914682539682</v>
      </c>
      <c r="Y254">
        <f t="shared" si="11"/>
        <v>37.870892273576104</v>
      </c>
    </row>
    <row r="255" spans="1:25">
      <c r="A255" s="3">
        <v>45162</v>
      </c>
      <c r="B255" s="1">
        <v>6005.6300000000019</v>
      </c>
      <c r="C255" s="1">
        <v>5400</v>
      </c>
      <c r="D255" s="1">
        <v>-605.63000000000193</v>
      </c>
      <c r="E255" s="1">
        <v>2132.0749999999994</v>
      </c>
      <c r="F255" s="1">
        <v>3400</v>
      </c>
      <c r="G255" s="1">
        <v>1267.9250000000006</v>
      </c>
      <c r="H255" s="1">
        <v>0</v>
      </c>
      <c r="I255" s="1">
        <v>0</v>
      </c>
      <c r="J255" s="1">
        <v>0</v>
      </c>
      <c r="K255" s="1">
        <v>2580</v>
      </c>
      <c r="L255" s="1">
        <v>3250</v>
      </c>
      <c r="M255" s="1">
        <v>670</v>
      </c>
      <c r="N255" s="1">
        <v>2150</v>
      </c>
      <c r="O255" s="1">
        <v>12050</v>
      </c>
      <c r="P255" s="1">
        <v>1332.2949999999987</v>
      </c>
      <c r="Q255" s="1">
        <v>-817.70500000000129</v>
      </c>
      <c r="R255">
        <f>YEAR(tbl_daily[[#This Row],[Date]])</f>
        <v>2023</v>
      </c>
      <c r="S255" t="str">
        <f>TEXT(tbl_daily[[#This Row],[Date]],"mmmm")</f>
        <v>August</v>
      </c>
      <c r="T255">
        <f>MONTH(tbl_daily[[#This Row],[Date]])</f>
        <v>8</v>
      </c>
      <c r="U255" t="str">
        <f>"Q"&amp;ROUNDUP(MONTH(tbl_daily[[#This Row],[Date]])/3,0)</f>
        <v>Q3</v>
      </c>
      <c r="V255" t="str">
        <f>TEXT(tbl_daily[[#This Row],[Date]],"dddd")</f>
        <v>Thursday</v>
      </c>
      <c r="W255" t="str">
        <f t="shared" si="9"/>
        <v>Loss</v>
      </c>
      <c r="X255">
        <f t="shared" si="10"/>
        <v>11.056390041493765</v>
      </c>
      <c r="Y255">
        <f t="shared" si="11"/>
        <v>-6.7859336099585166</v>
      </c>
    </row>
    <row r="256" spans="1:25">
      <c r="A256" s="3">
        <v>45163</v>
      </c>
      <c r="B256" s="1">
        <v>6706.2049999999999</v>
      </c>
      <c r="C256" s="1">
        <v>12000</v>
      </c>
      <c r="D256" s="1">
        <v>5293.7950000000001</v>
      </c>
      <c r="E256" s="1">
        <v>3280.2750000000005</v>
      </c>
      <c r="F256" s="1">
        <v>5800</v>
      </c>
      <c r="G256" s="1">
        <v>2519.7249999999995</v>
      </c>
      <c r="H256" s="1">
        <v>365.63099999999997</v>
      </c>
      <c r="I256" s="1">
        <v>1100</v>
      </c>
      <c r="J256" s="1">
        <v>734.36900000000003</v>
      </c>
      <c r="K256" s="1">
        <v>3125</v>
      </c>
      <c r="L256" s="1">
        <v>3900</v>
      </c>
      <c r="M256" s="1">
        <v>775</v>
      </c>
      <c r="N256" s="1">
        <v>2150</v>
      </c>
      <c r="O256" s="1">
        <v>22800</v>
      </c>
      <c r="P256" s="1">
        <v>9322.8889999999992</v>
      </c>
      <c r="Q256" s="1">
        <v>7172.8889999999992</v>
      </c>
      <c r="R256">
        <f>YEAR(tbl_daily[[#This Row],[Date]])</f>
        <v>2023</v>
      </c>
      <c r="S256" t="str">
        <f>TEXT(tbl_daily[[#This Row],[Date]],"mmmm")</f>
        <v>August</v>
      </c>
      <c r="T256">
        <f>MONTH(tbl_daily[[#This Row],[Date]])</f>
        <v>8</v>
      </c>
      <c r="U256" t="str">
        <f>"Q"&amp;ROUNDUP(MONTH(tbl_daily[[#This Row],[Date]])/3,0)</f>
        <v>Q3</v>
      </c>
      <c r="V256" t="str">
        <f>TEXT(tbl_daily[[#This Row],[Date]],"dddd")</f>
        <v>Friday</v>
      </c>
      <c r="W256" t="str">
        <f t="shared" si="9"/>
        <v>Profitable</v>
      </c>
      <c r="X256">
        <f t="shared" si="10"/>
        <v>40.889864035087712</v>
      </c>
      <c r="Y256">
        <f t="shared" si="11"/>
        <v>31.460039473684208</v>
      </c>
    </row>
    <row r="257" spans="1:25">
      <c r="A257" s="3">
        <v>45164</v>
      </c>
      <c r="B257" s="1">
        <v>5924.1350000000002</v>
      </c>
      <c r="C257" s="1">
        <v>7260</v>
      </c>
      <c r="D257" s="1">
        <v>1335.8649999999998</v>
      </c>
      <c r="E257" s="1">
        <v>2983.3250000000003</v>
      </c>
      <c r="F257" s="1">
        <v>4970</v>
      </c>
      <c r="G257" s="1">
        <v>1986.6749999999995</v>
      </c>
      <c r="H257" s="1">
        <v>35</v>
      </c>
      <c r="I257" s="1">
        <v>550</v>
      </c>
      <c r="J257" s="1">
        <v>515</v>
      </c>
      <c r="K257" s="1">
        <v>3280</v>
      </c>
      <c r="L257" s="1">
        <v>4130</v>
      </c>
      <c r="M257" s="1">
        <v>850</v>
      </c>
      <c r="N257" s="1">
        <v>2150</v>
      </c>
      <c r="O257" s="1">
        <v>16910</v>
      </c>
      <c r="P257" s="1">
        <v>4687.5399999999991</v>
      </c>
      <c r="Q257" s="1">
        <v>2537.5399999999991</v>
      </c>
      <c r="R257">
        <f>YEAR(tbl_daily[[#This Row],[Date]])</f>
        <v>2023</v>
      </c>
      <c r="S257" t="str">
        <f>TEXT(tbl_daily[[#This Row],[Date]],"mmmm")</f>
        <v>August</v>
      </c>
      <c r="T257">
        <f>MONTH(tbl_daily[[#This Row],[Date]])</f>
        <v>8</v>
      </c>
      <c r="U257" t="str">
        <f>"Q"&amp;ROUNDUP(MONTH(tbl_daily[[#This Row],[Date]])/3,0)</f>
        <v>Q3</v>
      </c>
      <c r="V257" t="str">
        <f>TEXT(tbl_daily[[#This Row],[Date]],"dddd")</f>
        <v>Saturday</v>
      </c>
      <c r="W257" t="str">
        <f t="shared" si="9"/>
        <v>Profitable</v>
      </c>
      <c r="X257">
        <f t="shared" si="10"/>
        <v>27.720520402128912</v>
      </c>
      <c r="Y257">
        <f t="shared" si="11"/>
        <v>15.006150206978115</v>
      </c>
    </row>
    <row r="258" spans="1:25">
      <c r="A258" s="3">
        <v>45165</v>
      </c>
      <c r="B258" s="1">
        <v>6028.8849999999993</v>
      </c>
      <c r="C258" s="1">
        <v>6090</v>
      </c>
      <c r="D258" s="1">
        <v>61.115000000000691</v>
      </c>
      <c r="E258" s="1">
        <v>2922.7499999999991</v>
      </c>
      <c r="F258" s="1">
        <v>3600</v>
      </c>
      <c r="G258" s="1">
        <v>677.25000000000091</v>
      </c>
      <c r="H258" s="1">
        <v>1032.7499999999998</v>
      </c>
      <c r="I258" s="1">
        <v>3150</v>
      </c>
      <c r="J258" s="1">
        <v>2117.25</v>
      </c>
      <c r="K258" s="1">
        <v>4271.6666666666661</v>
      </c>
      <c r="L258" s="1">
        <v>5330</v>
      </c>
      <c r="M258" s="1">
        <v>1058.3333333333339</v>
      </c>
      <c r="N258" s="1">
        <v>2150</v>
      </c>
      <c r="O258" s="1">
        <v>18170</v>
      </c>
      <c r="P258" s="1">
        <v>3913.9483333333351</v>
      </c>
      <c r="Q258" s="1">
        <v>1763.9483333333355</v>
      </c>
      <c r="R258">
        <f>YEAR(tbl_daily[[#This Row],[Date]])</f>
        <v>2023</v>
      </c>
      <c r="S258" t="str">
        <f>TEXT(tbl_daily[[#This Row],[Date]],"mmmm")</f>
        <v>August</v>
      </c>
      <c r="T258">
        <f>MONTH(tbl_daily[[#This Row],[Date]])</f>
        <v>8</v>
      </c>
      <c r="U258" t="str">
        <f>"Q"&amp;ROUNDUP(MONTH(tbl_daily[[#This Row],[Date]])/3,0)</f>
        <v>Q3</v>
      </c>
      <c r="V258" t="str">
        <f>TEXT(tbl_daily[[#This Row],[Date]],"dddd")</f>
        <v>Sunday</v>
      </c>
      <c r="W258" t="str">
        <f t="shared" ref="W258:W321" si="12">IF(Q258&gt;0,"Profitable",IF(Q258&lt;0,"Loss","Break-even"))</f>
        <v>Profitable</v>
      </c>
      <c r="X258">
        <f t="shared" ref="X258:X321" si="13">IFERROR(P258/O258 *100,0)</f>
        <v>21.54071729957807</v>
      </c>
      <c r="Y258">
        <f t="shared" ref="Y258:Y321" si="14">IFERROR(Q258/O258 *100,0)</f>
        <v>9.7080260502660174</v>
      </c>
    </row>
    <row r="259" spans="1:25">
      <c r="A259" s="3">
        <v>45166</v>
      </c>
      <c r="B259" s="1">
        <v>7040.6550000000016</v>
      </c>
      <c r="C259" s="1">
        <v>5090</v>
      </c>
      <c r="D259" s="1">
        <v>-1950.6550000000016</v>
      </c>
      <c r="E259" s="1">
        <v>5551.5250000000005</v>
      </c>
      <c r="F259" s="1">
        <v>6560</v>
      </c>
      <c r="G259" s="1">
        <v>1008.4749999999996</v>
      </c>
      <c r="H259" s="1">
        <v>809.32000000000016</v>
      </c>
      <c r="I259" s="1">
        <v>3650</v>
      </c>
      <c r="J259" s="1">
        <v>2840.68</v>
      </c>
      <c r="K259" s="1">
        <v>3470</v>
      </c>
      <c r="L259" s="1">
        <v>4320</v>
      </c>
      <c r="M259" s="1">
        <v>850</v>
      </c>
      <c r="N259" s="1">
        <v>2150</v>
      </c>
      <c r="O259" s="1">
        <v>19620</v>
      </c>
      <c r="P259" s="1">
        <v>2748.4999999999977</v>
      </c>
      <c r="Q259" s="1">
        <v>598.49999999999773</v>
      </c>
      <c r="R259">
        <f>YEAR(tbl_daily[[#This Row],[Date]])</f>
        <v>2023</v>
      </c>
      <c r="S259" t="str">
        <f>TEXT(tbl_daily[[#This Row],[Date]],"mmmm")</f>
        <v>August</v>
      </c>
      <c r="T259">
        <f>MONTH(tbl_daily[[#This Row],[Date]])</f>
        <v>8</v>
      </c>
      <c r="U259" t="str">
        <f>"Q"&amp;ROUNDUP(MONTH(tbl_daily[[#This Row],[Date]])/3,0)</f>
        <v>Q3</v>
      </c>
      <c r="V259" t="str">
        <f>TEXT(tbl_daily[[#This Row],[Date]],"dddd")</f>
        <v>Monday</v>
      </c>
      <c r="W259" t="str">
        <f t="shared" si="12"/>
        <v>Profitable</v>
      </c>
      <c r="X259">
        <f t="shared" si="13"/>
        <v>14.008664627930672</v>
      </c>
      <c r="Y259">
        <f t="shared" si="14"/>
        <v>3.0504587155963185</v>
      </c>
    </row>
    <row r="260" spans="1:25">
      <c r="A260" s="3">
        <v>45167</v>
      </c>
      <c r="B260" s="1">
        <v>5603.8550000000005</v>
      </c>
      <c r="C260" s="1">
        <v>6590</v>
      </c>
      <c r="D260" s="1">
        <v>986.14499999999953</v>
      </c>
      <c r="E260" s="1">
        <v>2278</v>
      </c>
      <c r="F260" s="1">
        <v>2700</v>
      </c>
      <c r="G260" s="1">
        <v>422</v>
      </c>
      <c r="H260" s="1">
        <v>88.179999999999879</v>
      </c>
      <c r="I260" s="1">
        <v>1100</v>
      </c>
      <c r="J260" s="1">
        <v>1011.8200000000002</v>
      </c>
      <c r="K260" s="1">
        <v>2606.666666666667</v>
      </c>
      <c r="L260" s="1">
        <v>3210</v>
      </c>
      <c r="M260" s="1">
        <v>603.33333333333303</v>
      </c>
      <c r="N260" s="1">
        <v>2150</v>
      </c>
      <c r="O260" s="1">
        <v>13600</v>
      </c>
      <c r="P260" s="1">
        <v>3023.2983333333327</v>
      </c>
      <c r="Q260" s="1">
        <v>873.29833333333283</v>
      </c>
      <c r="R260">
        <f>YEAR(tbl_daily[[#This Row],[Date]])</f>
        <v>2023</v>
      </c>
      <c r="S260" t="str">
        <f>TEXT(tbl_daily[[#This Row],[Date]],"mmmm")</f>
        <v>August</v>
      </c>
      <c r="T260">
        <f>MONTH(tbl_daily[[#This Row],[Date]])</f>
        <v>8</v>
      </c>
      <c r="U260" t="str">
        <f>"Q"&amp;ROUNDUP(MONTH(tbl_daily[[#This Row],[Date]])/3,0)</f>
        <v>Q3</v>
      </c>
      <c r="V260" t="str">
        <f>TEXT(tbl_daily[[#This Row],[Date]],"dddd")</f>
        <v>Tuesday</v>
      </c>
      <c r="W260" t="str">
        <f t="shared" si="12"/>
        <v>Profitable</v>
      </c>
      <c r="X260">
        <f t="shared" si="13"/>
        <v>22.230134803921565</v>
      </c>
      <c r="Y260">
        <f t="shared" si="14"/>
        <v>6.4213112745098</v>
      </c>
    </row>
    <row r="261" spans="1:25">
      <c r="A261" s="3">
        <v>45168</v>
      </c>
      <c r="B261" s="1">
        <v>5720.98</v>
      </c>
      <c r="C261" s="1">
        <v>7610</v>
      </c>
      <c r="D261" s="1">
        <v>1889.0200000000004</v>
      </c>
      <c r="E261" s="1">
        <v>2358.5250000000001</v>
      </c>
      <c r="F261" s="1">
        <v>2600</v>
      </c>
      <c r="G261" s="1">
        <v>241.47499999999991</v>
      </c>
      <c r="H261" s="1">
        <v>480.50000000000011</v>
      </c>
      <c r="I261" s="1">
        <v>2350</v>
      </c>
      <c r="J261" s="1">
        <v>1869.5</v>
      </c>
      <c r="K261" s="1">
        <v>2213.3333333333335</v>
      </c>
      <c r="L261" s="1">
        <v>2800</v>
      </c>
      <c r="M261" s="1">
        <v>586.66666666666652</v>
      </c>
      <c r="N261" s="1">
        <v>2150</v>
      </c>
      <c r="O261" s="1">
        <v>15360</v>
      </c>
      <c r="P261" s="1">
        <v>4586.6616666666669</v>
      </c>
      <c r="Q261" s="1">
        <v>2436.6616666666669</v>
      </c>
      <c r="R261">
        <f>YEAR(tbl_daily[[#This Row],[Date]])</f>
        <v>2023</v>
      </c>
      <c r="S261" t="str">
        <f>TEXT(tbl_daily[[#This Row],[Date]],"mmmm")</f>
        <v>August</v>
      </c>
      <c r="T261">
        <f>MONTH(tbl_daily[[#This Row],[Date]])</f>
        <v>8</v>
      </c>
      <c r="U261" t="str">
        <f>"Q"&amp;ROUNDUP(MONTH(tbl_daily[[#This Row],[Date]])/3,0)</f>
        <v>Q3</v>
      </c>
      <c r="V261" t="str">
        <f>TEXT(tbl_daily[[#This Row],[Date]],"dddd")</f>
        <v>Wednesday</v>
      </c>
      <c r="W261" t="str">
        <f t="shared" si="12"/>
        <v>Profitable</v>
      </c>
      <c r="X261">
        <f t="shared" si="13"/>
        <v>29.861078559027781</v>
      </c>
      <c r="Y261">
        <f t="shared" si="14"/>
        <v>15.863682725694444</v>
      </c>
    </row>
    <row r="262" spans="1:25">
      <c r="A262" s="3">
        <v>45169</v>
      </c>
      <c r="B262" s="1">
        <v>5524.0449999999992</v>
      </c>
      <c r="C262" s="1">
        <v>8300</v>
      </c>
      <c r="D262" s="1">
        <v>2775.9550000000008</v>
      </c>
      <c r="E262" s="1">
        <v>3549.7900000000004</v>
      </c>
      <c r="F262" s="1">
        <v>6300</v>
      </c>
      <c r="G262" s="1">
        <v>2750.2099999999996</v>
      </c>
      <c r="H262" s="1">
        <v>367.40000000000003</v>
      </c>
      <c r="I262" s="1">
        <v>1650</v>
      </c>
      <c r="J262" s="1">
        <v>1282.5999999999999</v>
      </c>
      <c r="K262" s="1">
        <v>4740.0000000000009</v>
      </c>
      <c r="L262" s="1">
        <v>5900</v>
      </c>
      <c r="M262" s="1">
        <v>1159.9999999999991</v>
      </c>
      <c r="N262" s="1">
        <v>2150</v>
      </c>
      <c r="O262" s="1">
        <v>22150</v>
      </c>
      <c r="P262" s="1">
        <v>7968.7650000000003</v>
      </c>
      <c r="Q262" s="1">
        <v>5818.7650000000003</v>
      </c>
      <c r="R262">
        <f>YEAR(tbl_daily[[#This Row],[Date]])</f>
        <v>2023</v>
      </c>
      <c r="S262" t="str">
        <f>TEXT(tbl_daily[[#This Row],[Date]],"mmmm")</f>
        <v>August</v>
      </c>
      <c r="T262">
        <f>MONTH(tbl_daily[[#This Row],[Date]])</f>
        <v>8</v>
      </c>
      <c r="U262" t="str">
        <f>"Q"&amp;ROUNDUP(MONTH(tbl_daily[[#This Row],[Date]])/3,0)</f>
        <v>Q3</v>
      </c>
      <c r="V262" t="str">
        <f>TEXT(tbl_daily[[#This Row],[Date]],"dddd")</f>
        <v>Thursday</v>
      </c>
      <c r="W262" t="str">
        <f t="shared" si="12"/>
        <v>Profitable</v>
      </c>
      <c r="X262">
        <f t="shared" si="13"/>
        <v>35.97636568848759</v>
      </c>
      <c r="Y262">
        <f t="shared" si="14"/>
        <v>26.269819413092556</v>
      </c>
    </row>
    <row r="263" spans="1:25">
      <c r="A263" s="3">
        <v>45170</v>
      </c>
      <c r="B263" s="1">
        <v>6619.8950000000032</v>
      </c>
      <c r="C263" s="1">
        <v>9150</v>
      </c>
      <c r="D263" s="1">
        <v>2530.1049999999968</v>
      </c>
      <c r="E263" s="1">
        <v>3603.61</v>
      </c>
      <c r="F263" s="1">
        <v>5100</v>
      </c>
      <c r="G263" s="1">
        <v>1496.3900000000003</v>
      </c>
      <c r="H263" s="1">
        <v>520.82999999999993</v>
      </c>
      <c r="I263" s="1">
        <v>2800</v>
      </c>
      <c r="J263" s="1">
        <v>2279.17</v>
      </c>
      <c r="K263" s="1">
        <v>2838.3333333333335</v>
      </c>
      <c r="L263" s="1">
        <v>3590</v>
      </c>
      <c r="M263" s="1">
        <v>751.66666666666652</v>
      </c>
      <c r="N263" s="1">
        <v>2150</v>
      </c>
      <c r="O263" s="1">
        <v>20640</v>
      </c>
      <c r="P263" s="1">
        <v>7057.3316666666633</v>
      </c>
      <c r="Q263" s="1">
        <v>4907.3316666666633</v>
      </c>
      <c r="R263">
        <f>YEAR(tbl_daily[[#This Row],[Date]])</f>
        <v>2023</v>
      </c>
      <c r="S263" t="str">
        <f>TEXT(tbl_daily[[#This Row],[Date]],"mmmm")</f>
        <v>September</v>
      </c>
      <c r="T263">
        <f>MONTH(tbl_daily[[#This Row],[Date]])</f>
        <v>9</v>
      </c>
      <c r="U263" t="str">
        <f>"Q"&amp;ROUNDUP(MONTH(tbl_daily[[#This Row],[Date]])/3,0)</f>
        <v>Q3</v>
      </c>
      <c r="V263" t="str">
        <f>TEXT(tbl_daily[[#This Row],[Date]],"dddd")</f>
        <v>Friday</v>
      </c>
      <c r="W263" t="str">
        <f t="shared" si="12"/>
        <v>Profitable</v>
      </c>
      <c r="X263">
        <f t="shared" si="13"/>
        <v>34.192498385012904</v>
      </c>
      <c r="Y263">
        <f t="shared" si="14"/>
        <v>23.77583171834624</v>
      </c>
    </row>
    <row r="264" spans="1:25">
      <c r="A264" s="3">
        <v>45171</v>
      </c>
      <c r="B264" s="1">
        <v>7081.8499999999995</v>
      </c>
      <c r="C264" s="1">
        <v>8310</v>
      </c>
      <c r="D264" s="1">
        <v>1228.1500000000003</v>
      </c>
      <c r="E264" s="1">
        <v>3330.6499999999996</v>
      </c>
      <c r="F264" s="1">
        <v>4700</v>
      </c>
      <c r="G264" s="1">
        <v>1369.3500000000004</v>
      </c>
      <c r="H264" s="1">
        <v>785.3</v>
      </c>
      <c r="I264" s="1">
        <v>2950</v>
      </c>
      <c r="J264" s="1">
        <v>2164.6999999999998</v>
      </c>
      <c r="K264" s="1">
        <v>3228.333333333333</v>
      </c>
      <c r="L264" s="1">
        <v>4040</v>
      </c>
      <c r="M264" s="1">
        <v>811.66666666666708</v>
      </c>
      <c r="N264" s="1">
        <v>2150</v>
      </c>
      <c r="O264" s="1">
        <v>20000</v>
      </c>
      <c r="P264" s="1">
        <v>5573.8666666666677</v>
      </c>
      <c r="Q264" s="1">
        <v>3423.8666666666677</v>
      </c>
      <c r="R264">
        <f>YEAR(tbl_daily[[#This Row],[Date]])</f>
        <v>2023</v>
      </c>
      <c r="S264" t="str">
        <f>TEXT(tbl_daily[[#This Row],[Date]],"mmmm")</f>
        <v>September</v>
      </c>
      <c r="T264">
        <f>MONTH(tbl_daily[[#This Row],[Date]])</f>
        <v>9</v>
      </c>
      <c r="U264" t="str">
        <f>"Q"&amp;ROUNDUP(MONTH(tbl_daily[[#This Row],[Date]])/3,0)</f>
        <v>Q3</v>
      </c>
      <c r="V264" t="str">
        <f>TEXT(tbl_daily[[#This Row],[Date]],"dddd")</f>
        <v>Saturday</v>
      </c>
      <c r="W264" t="str">
        <f t="shared" si="12"/>
        <v>Profitable</v>
      </c>
      <c r="X264">
        <f t="shared" si="13"/>
        <v>27.869333333333341</v>
      </c>
      <c r="Y264">
        <f t="shared" si="14"/>
        <v>17.119333333333341</v>
      </c>
    </row>
    <row r="265" spans="1:25">
      <c r="A265" s="3">
        <v>45172</v>
      </c>
      <c r="B265" s="1">
        <v>5624.8149999999996</v>
      </c>
      <c r="C265" s="1">
        <v>7410</v>
      </c>
      <c r="D265" s="1">
        <v>1785.1850000000004</v>
      </c>
      <c r="E265" s="1">
        <v>2261.5000000000005</v>
      </c>
      <c r="F265" s="1">
        <v>4200</v>
      </c>
      <c r="G265" s="1">
        <v>1938.4999999999995</v>
      </c>
      <c r="H265" s="1">
        <v>130.07999999999996</v>
      </c>
      <c r="I265" s="1">
        <v>350</v>
      </c>
      <c r="J265" s="1">
        <v>219.92000000000004</v>
      </c>
      <c r="K265" s="1">
        <v>4555</v>
      </c>
      <c r="L265" s="1">
        <v>5700</v>
      </c>
      <c r="M265" s="1">
        <v>1145</v>
      </c>
      <c r="N265" s="1">
        <v>2150</v>
      </c>
      <c r="O265" s="1">
        <v>17660</v>
      </c>
      <c r="P265" s="1">
        <v>5088.6049999999996</v>
      </c>
      <c r="Q265" s="1">
        <v>2938.6049999999996</v>
      </c>
      <c r="R265">
        <f>YEAR(tbl_daily[[#This Row],[Date]])</f>
        <v>2023</v>
      </c>
      <c r="S265" t="str">
        <f>TEXT(tbl_daily[[#This Row],[Date]],"mmmm")</f>
        <v>September</v>
      </c>
      <c r="T265">
        <f>MONTH(tbl_daily[[#This Row],[Date]])</f>
        <v>9</v>
      </c>
      <c r="U265" t="str">
        <f>"Q"&amp;ROUNDUP(MONTH(tbl_daily[[#This Row],[Date]])/3,0)</f>
        <v>Q3</v>
      </c>
      <c r="V265" t="str">
        <f>TEXT(tbl_daily[[#This Row],[Date]],"dddd")</f>
        <v>Sunday</v>
      </c>
      <c r="W265" t="str">
        <f t="shared" si="12"/>
        <v>Profitable</v>
      </c>
      <c r="X265">
        <f t="shared" si="13"/>
        <v>28.814297848244617</v>
      </c>
      <c r="Y265">
        <f t="shared" si="14"/>
        <v>16.639892412231028</v>
      </c>
    </row>
    <row r="266" spans="1:25">
      <c r="A266" s="3">
        <v>45173</v>
      </c>
      <c r="B266" s="1">
        <v>5160.7400000000007</v>
      </c>
      <c r="C266" s="1">
        <v>9420</v>
      </c>
      <c r="D266" s="1">
        <v>4259.2599999999993</v>
      </c>
      <c r="E266" s="1">
        <v>2275.25</v>
      </c>
      <c r="F266" s="1">
        <v>2100</v>
      </c>
      <c r="G266" s="1">
        <v>-175.25</v>
      </c>
      <c r="H266" s="1">
        <v>116</v>
      </c>
      <c r="I266" s="1">
        <v>550</v>
      </c>
      <c r="J266" s="1">
        <v>434</v>
      </c>
      <c r="K266" s="1">
        <v>2770</v>
      </c>
      <c r="L266" s="1">
        <v>3420</v>
      </c>
      <c r="M266" s="1">
        <v>650</v>
      </c>
      <c r="N266" s="1">
        <v>2150</v>
      </c>
      <c r="O266" s="1">
        <v>15490</v>
      </c>
      <c r="P266" s="1">
        <v>5168.0099999999993</v>
      </c>
      <c r="Q266" s="1">
        <v>3018.0099999999993</v>
      </c>
      <c r="R266">
        <f>YEAR(tbl_daily[[#This Row],[Date]])</f>
        <v>2023</v>
      </c>
      <c r="S266" t="str">
        <f>TEXT(tbl_daily[[#This Row],[Date]],"mmmm")</f>
        <v>September</v>
      </c>
      <c r="T266">
        <f>MONTH(tbl_daily[[#This Row],[Date]])</f>
        <v>9</v>
      </c>
      <c r="U266" t="str">
        <f>"Q"&amp;ROUNDUP(MONTH(tbl_daily[[#This Row],[Date]])/3,0)</f>
        <v>Q3</v>
      </c>
      <c r="V266" t="str">
        <f>TEXT(tbl_daily[[#This Row],[Date]],"dddd")</f>
        <v>Monday</v>
      </c>
      <c r="W266" t="str">
        <f t="shared" si="12"/>
        <v>Profitable</v>
      </c>
      <c r="X266">
        <f t="shared" si="13"/>
        <v>33.363524854744995</v>
      </c>
      <c r="Y266">
        <f t="shared" si="14"/>
        <v>19.483602324080046</v>
      </c>
    </row>
    <row r="267" spans="1:25">
      <c r="A267" s="3">
        <v>45174</v>
      </c>
      <c r="B267" s="1">
        <v>6809.704999999999</v>
      </c>
      <c r="C267" s="1">
        <v>6920</v>
      </c>
      <c r="D267" s="1">
        <v>110.29500000000098</v>
      </c>
      <c r="E267" s="1">
        <v>1875.5500000000004</v>
      </c>
      <c r="F267" s="1">
        <v>2300</v>
      </c>
      <c r="G267" s="1">
        <v>424.44999999999959</v>
      </c>
      <c r="H267" s="1">
        <v>656.1</v>
      </c>
      <c r="I267" s="1">
        <v>1700</v>
      </c>
      <c r="J267" s="1">
        <v>1043.9000000000001</v>
      </c>
      <c r="K267" s="1">
        <v>2913.333333333333</v>
      </c>
      <c r="L267" s="1">
        <v>3620</v>
      </c>
      <c r="M267" s="1">
        <v>706.66666666666697</v>
      </c>
      <c r="N267" s="1">
        <v>2150</v>
      </c>
      <c r="O267" s="1">
        <v>14540</v>
      </c>
      <c r="P267" s="1">
        <v>2285.3116666666674</v>
      </c>
      <c r="Q267" s="1">
        <v>135.31166666666741</v>
      </c>
      <c r="R267">
        <f>YEAR(tbl_daily[[#This Row],[Date]])</f>
        <v>2023</v>
      </c>
      <c r="S267" t="str">
        <f>TEXT(tbl_daily[[#This Row],[Date]],"mmmm")</f>
        <v>September</v>
      </c>
      <c r="T267">
        <f>MONTH(tbl_daily[[#This Row],[Date]])</f>
        <v>9</v>
      </c>
      <c r="U267" t="str">
        <f>"Q"&amp;ROUNDUP(MONTH(tbl_daily[[#This Row],[Date]])/3,0)</f>
        <v>Q3</v>
      </c>
      <c r="V267" t="str">
        <f>TEXT(tbl_daily[[#This Row],[Date]],"dddd")</f>
        <v>Tuesday</v>
      </c>
      <c r="W267" t="str">
        <f t="shared" si="12"/>
        <v>Profitable</v>
      </c>
      <c r="X267">
        <f t="shared" si="13"/>
        <v>15.71741173773499</v>
      </c>
      <c r="Y267">
        <f t="shared" si="14"/>
        <v>0.93061668959193533</v>
      </c>
    </row>
    <row r="268" spans="1:25">
      <c r="A268" s="3">
        <v>45175</v>
      </c>
      <c r="B268" s="1">
        <v>5005.6499999999996</v>
      </c>
      <c r="C268" s="1">
        <v>9120</v>
      </c>
      <c r="D268" s="1">
        <v>4114.3500000000004</v>
      </c>
      <c r="E268" s="1">
        <v>2576.6749999999997</v>
      </c>
      <c r="F268" s="1">
        <v>3690</v>
      </c>
      <c r="G268" s="1">
        <v>1113.3250000000005</v>
      </c>
      <c r="H268" s="1">
        <v>359.85</v>
      </c>
      <c r="I268" s="1">
        <v>1100</v>
      </c>
      <c r="J268" s="1">
        <v>740.15</v>
      </c>
      <c r="K268" s="1">
        <v>2585.0000000000005</v>
      </c>
      <c r="L268" s="1">
        <v>3230</v>
      </c>
      <c r="M268" s="1">
        <v>644.99999999999955</v>
      </c>
      <c r="N268" s="1">
        <v>2150</v>
      </c>
      <c r="O268" s="1">
        <v>17140</v>
      </c>
      <c r="P268" s="1">
        <v>6612.8250000000007</v>
      </c>
      <c r="Q268" s="1">
        <v>4462.8250000000007</v>
      </c>
      <c r="R268">
        <f>YEAR(tbl_daily[[#This Row],[Date]])</f>
        <v>2023</v>
      </c>
      <c r="S268" t="str">
        <f>TEXT(tbl_daily[[#This Row],[Date]],"mmmm")</f>
        <v>September</v>
      </c>
      <c r="T268">
        <f>MONTH(tbl_daily[[#This Row],[Date]])</f>
        <v>9</v>
      </c>
      <c r="U268" t="str">
        <f>"Q"&amp;ROUNDUP(MONTH(tbl_daily[[#This Row],[Date]])/3,0)</f>
        <v>Q3</v>
      </c>
      <c r="V268" t="str">
        <f>TEXT(tbl_daily[[#This Row],[Date]],"dddd")</f>
        <v>Wednesday</v>
      </c>
      <c r="W268" t="str">
        <f t="shared" si="12"/>
        <v>Profitable</v>
      </c>
      <c r="X268">
        <f t="shared" si="13"/>
        <v>38.581242707117859</v>
      </c>
      <c r="Y268">
        <f t="shared" si="14"/>
        <v>26.037485414235711</v>
      </c>
    </row>
    <row r="269" spans="1:25">
      <c r="A269" s="3">
        <v>45176</v>
      </c>
      <c r="B269" s="1">
        <v>5367.8399999999983</v>
      </c>
      <c r="C269" s="1">
        <v>6740</v>
      </c>
      <c r="D269" s="1">
        <v>1372.1600000000017</v>
      </c>
      <c r="E269" s="1">
        <v>3703.8249999999998</v>
      </c>
      <c r="F269" s="1">
        <v>6850</v>
      </c>
      <c r="G269" s="1">
        <v>3146.1750000000002</v>
      </c>
      <c r="H269" s="1">
        <v>146.32999999999979</v>
      </c>
      <c r="I269" s="1">
        <v>800</v>
      </c>
      <c r="J269" s="1">
        <v>653.67000000000019</v>
      </c>
      <c r="K269" s="1">
        <v>3448.3333333333335</v>
      </c>
      <c r="L269" s="1">
        <v>4320</v>
      </c>
      <c r="M269" s="1">
        <v>871.66666666666652</v>
      </c>
      <c r="N269" s="1">
        <v>2150</v>
      </c>
      <c r="O269" s="1">
        <v>18710</v>
      </c>
      <c r="P269" s="1">
        <v>6043.6716666666689</v>
      </c>
      <c r="Q269" s="1">
        <v>3893.6716666666689</v>
      </c>
      <c r="R269">
        <f>YEAR(tbl_daily[[#This Row],[Date]])</f>
        <v>2023</v>
      </c>
      <c r="S269" t="str">
        <f>TEXT(tbl_daily[[#This Row],[Date]],"mmmm")</f>
        <v>September</v>
      </c>
      <c r="T269">
        <f>MONTH(tbl_daily[[#This Row],[Date]])</f>
        <v>9</v>
      </c>
      <c r="U269" t="str">
        <f>"Q"&amp;ROUNDUP(MONTH(tbl_daily[[#This Row],[Date]])/3,0)</f>
        <v>Q3</v>
      </c>
      <c r="V269" t="str">
        <f>TEXT(tbl_daily[[#This Row],[Date]],"dddd")</f>
        <v>Thursday</v>
      </c>
      <c r="W269" t="str">
        <f t="shared" si="12"/>
        <v>Profitable</v>
      </c>
      <c r="X269">
        <f t="shared" si="13"/>
        <v>32.301826117940507</v>
      </c>
      <c r="Y269">
        <f t="shared" si="14"/>
        <v>20.810644931409243</v>
      </c>
    </row>
    <row r="270" spans="1:25">
      <c r="A270" s="3">
        <v>45177</v>
      </c>
      <c r="B270" s="1">
        <v>6657.8200000000015</v>
      </c>
      <c r="C270" s="1">
        <v>5950</v>
      </c>
      <c r="D270" s="1">
        <v>-707.82000000000153</v>
      </c>
      <c r="E270" s="1">
        <v>6022.6750000000011</v>
      </c>
      <c r="F270" s="1">
        <v>10250</v>
      </c>
      <c r="G270" s="1">
        <v>4227.3249999999989</v>
      </c>
      <c r="H270" s="1">
        <v>387.63000000000022</v>
      </c>
      <c r="I270" s="1">
        <v>1100</v>
      </c>
      <c r="J270" s="1">
        <v>712.36999999999966</v>
      </c>
      <c r="K270" s="1">
        <v>4071.6666666666665</v>
      </c>
      <c r="L270" s="1">
        <v>5050</v>
      </c>
      <c r="M270" s="1">
        <v>978.33333333333348</v>
      </c>
      <c r="N270" s="1">
        <v>2150</v>
      </c>
      <c r="O270" s="1">
        <v>22350</v>
      </c>
      <c r="P270" s="1">
        <v>5210.2083333333303</v>
      </c>
      <c r="Q270" s="1">
        <v>3060.2083333333303</v>
      </c>
      <c r="R270">
        <f>YEAR(tbl_daily[[#This Row],[Date]])</f>
        <v>2023</v>
      </c>
      <c r="S270" t="str">
        <f>TEXT(tbl_daily[[#This Row],[Date]],"mmmm")</f>
        <v>September</v>
      </c>
      <c r="T270">
        <f>MONTH(tbl_daily[[#This Row],[Date]])</f>
        <v>9</v>
      </c>
      <c r="U270" t="str">
        <f>"Q"&amp;ROUNDUP(MONTH(tbl_daily[[#This Row],[Date]])/3,0)</f>
        <v>Q3</v>
      </c>
      <c r="V270" t="str">
        <f>TEXT(tbl_daily[[#This Row],[Date]],"dddd")</f>
        <v>Friday</v>
      </c>
      <c r="W270" t="str">
        <f t="shared" si="12"/>
        <v>Profitable</v>
      </c>
      <c r="X270">
        <f t="shared" si="13"/>
        <v>23.311894108873961</v>
      </c>
      <c r="Y270">
        <f t="shared" si="14"/>
        <v>13.692207307979107</v>
      </c>
    </row>
    <row r="271" spans="1:25">
      <c r="A271" s="3">
        <v>45180</v>
      </c>
      <c r="B271" s="1">
        <v>6148.6200000000008</v>
      </c>
      <c r="C271" s="1">
        <v>8940</v>
      </c>
      <c r="D271" s="1">
        <v>2791.3799999999992</v>
      </c>
      <c r="E271" s="1">
        <v>2367.7250000000004</v>
      </c>
      <c r="F271" s="1">
        <v>3600</v>
      </c>
      <c r="G271" s="1">
        <v>1232.2749999999996</v>
      </c>
      <c r="H271" s="1">
        <v>120.24999999999991</v>
      </c>
      <c r="I271" s="1">
        <v>800</v>
      </c>
      <c r="J271" s="1">
        <v>679.75000000000011</v>
      </c>
      <c r="K271" s="1">
        <v>3958.3333333333335</v>
      </c>
      <c r="L271" s="1">
        <v>4950</v>
      </c>
      <c r="M271" s="1">
        <v>991.66666666666652</v>
      </c>
      <c r="N271" s="1">
        <v>2150</v>
      </c>
      <c r="O271" s="1">
        <v>18290</v>
      </c>
      <c r="P271" s="1">
        <v>5695.0716666666649</v>
      </c>
      <c r="Q271" s="1">
        <v>3545.0716666666649</v>
      </c>
      <c r="R271">
        <f>YEAR(tbl_daily[[#This Row],[Date]])</f>
        <v>2023</v>
      </c>
      <c r="S271" t="str">
        <f>TEXT(tbl_daily[[#This Row],[Date]],"mmmm")</f>
        <v>September</v>
      </c>
      <c r="T271">
        <f>MONTH(tbl_daily[[#This Row],[Date]])</f>
        <v>9</v>
      </c>
      <c r="U271" t="str">
        <f>"Q"&amp;ROUNDUP(MONTH(tbl_daily[[#This Row],[Date]])/3,0)</f>
        <v>Q3</v>
      </c>
      <c r="V271" t="str">
        <f>TEXT(tbl_daily[[#This Row],[Date]],"dddd")</f>
        <v>Monday</v>
      </c>
      <c r="W271" t="str">
        <f t="shared" si="12"/>
        <v>Profitable</v>
      </c>
      <c r="X271">
        <f t="shared" si="13"/>
        <v>31.137625296154535</v>
      </c>
      <c r="Y271">
        <f t="shared" si="14"/>
        <v>19.382567887734638</v>
      </c>
    </row>
    <row r="272" spans="1:25">
      <c r="A272" s="3">
        <v>45181</v>
      </c>
      <c r="B272" s="1">
        <v>6232.3849999999993</v>
      </c>
      <c r="C272" s="1">
        <v>5380</v>
      </c>
      <c r="D272" s="1">
        <v>-852.38499999999931</v>
      </c>
      <c r="E272" s="1">
        <v>3074.3749999999995</v>
      </c>
      <c r="F272" s="1">
        <v>5150</v>
      </c>
      <c r="G272" s="1">
        <v>2075.6250000000005</v>
      </c>
      <c r="H272" s="1">
        <v>495.4</v>
      </c>
      <c r="I272" s="1">
        <v>1000</v>
      </c>
      <c r="J272" s="1">
        <v>504.6</v>
      </c>
      <c r="K272" s="1">
        <v>3225</v>
      </c>
      <c r="L272" s="1">
        <v>4020</v>
      </c>
      <c r="M272" s="1">
        <v>795</v>
      </c>
      <c r="N272" s="1">
        <v>2150</v>
      </c>
      <c r="O272" s="1">
        <v>15550</v>
      </c>
      <c r="P272" s="1">
        <v>2522.8400000000011</v>
      </c>
      <c r="Q272" s="1">
        <v>372.84000000000106</v>
      </c>
      <c r="R272">
        <f>YEAR(tbl_daily[[#This Row],[Date]])</f>
        <v>2023</v>
      </c>
      <c r="S272" t="str">
        <f>TEXT(tbl_daily[[#This Row],[Date]],"mmmm")</f>
        <v>September</v>
      </c>
      <c r="T272">
        <f>MONTH(tbl_daily[[#This Row],[Date]])</f>
        <v>9</v>
      </c>
      <c r="U272" t="str">
        <f>"Q"&amp;ROUNDUP(MONTH(tbl_daily[[#This Row],[Date]])/3,0)</f>
        <v>Q3</v>
      </c>
      <c r="V272" t="str">
        <f>TEXT(tbl_daily[[#This Row],[Date]],"dddd")</f>
        <v>Tuesday</v>
      </c>
      <c r="W272" t="str">
        <f t="shared" si="12"/>
        <v>Profitable</v>
      </c>
      <c r="X272">
        <f t="shared" si="13"/>
        <v>16.224051446945346</v>
      </c>
      <c r="Y272">
        <f t="shared" si="14"/>
        <v>2.397684887459814</v>
      </c>
    </row>
    <row r="273" spans="1:25">
      <c r="A273" s="3">
        <v>45182</v>
      </c>
      <c r="B273" s="1">
        <v>4800.2800000000007</v>
      </c>
      <c r="C273" s="1">
        <v>6270</v>
      </c>
      <c r="D273" s="1">
        <v>1469.7199999999991</v>
      </c>
      <c r="E273" s="1">
        <v>2965.9999999999995</v>
      </c>
      <c r="F273" s="1">
        <v>4100</v>
      </c>
      <c r="G273" s="1">
        <v>1134.0000000000005</v>
      </c>
      <c r="H273" s="1">
        <v>23</v>
      </c>
      <c r="I273" s="1">
        <v>400</v>
      </c>
      <c r="J273" s="1">
        <v>377</v>
      </c>
      <c r="K273" s="1">
        <v>3024.9999999999995</v>
      </c>
      <c r="L273" s="1">
        <v>3800</v>
      </c>
      <c r="M273" s="1">
        <v>775.00000000000045</v>
      </c>
      <c r="N273" s="1">
        <v>2150</v>
      </c>
      <c r="O273" s="1">
        <v>14570</v>
      </c>
      <c r="P273" s="1">
        <v>3755.72</v>
      </c>
      <c r="Q273" s="1">
        <v>1605.7200000000005</v>
      </c>
      <c r="R273">
        <f>YEAR(tbl_daily[[#This Row],[Date]])</f>
        <v>2023</v>
      </c>
      <c r="S273" t="str">
        <f>TEXT(tbl_daily[[#This Row],[Date]],"mmmm")</f>
        <v>September</v>
      </c>
      <c r="T273">
        <f>MONTH(tbl_daily[[#This Row],[Date]])</f>
        <v>9</v>
      </c>
      <c r="U273" t="str">
        <f>"Q"&amp;ROUNDUP(MONTH(tbl_daily[[#This Row],[Date]])/3,0)</f>
        <v>Q3</v>
      </c>
      <c r="V273" t="str">
        <f>TEXT(tbl_daily[[#This Row],[Date]],"dddd")</f>
        <v>Wednesday</v>
      </c>
      <c r="W273" t="str">
        <f t="shared" si="12"/>
        <v>Profitable</v>
      </c>
      <c r="X273">
        <f t="shared" si="13"/>
        <v>25.777076183939602</v>
      </c>
      <c r="Y273">
        <f t="shared" si="14"/>
        <v>11.020727522306112</v>
      </c>
    </row>
    <row r="274" spans="1:25">
      <c r="A274" s="3">
        <v>45183</v>
      </c>
      <c r="B274" s="1">
        <v>5510.5350000000008</v>
      </c>
      <c r="C274" s="1">
        <v>5260</v>
      </c>
      <c r="D274" s="1">
        <v>-250.53500000000076</v>
      </c>
      <c r="E274" s="1">
        <v>2190.7750000000005</v>
      </c>
      <c r="F274" s="1">
        <v>6350</v>
      </c>
      <c r="G274" s="1">
        <v>4159.2249999999995</v>
      </c>
      <c r="H274" s="1">
        <v>273.61000000000013</v>
      </c>
      <c r="I274" s="1">
        <v>800</v>
      </c>
      <c r="J274" s="1">
        <v>526.38999999999987</v>
      </c>
      <c r="K274" s="1">
        <v>2993.3333333333335</v>
      </c>
      <c r="L274" s="1">
        <v>3710</v>
      </c>
      <c r="M274" s="1">
        <v>716.66666666666652</v>
      </c>
      <c r="N274" s="1">
        <v>2150</v>
      </c>
      <c r="O274" s="1">
        <v>16120</v>
      </c>
      <c r="P274" s="1">
        <v>5151.746666666666</v>
      </c>
      <c r="Q274" s="1">
        <v>3001.746666666666</v>
      </c>
      <c r="R274">
        <f>YEAR(tbl_daily[[#This Row],[Date]])</f>
        <v>2023</v>
      </c>
      <c r="S274" t="str">
        <f>TEXT(tbl_daily[[#This Row],[Date]],"mmmm")</f>
        <v>September</v>
      </c>
      <c r="T274">
        <f>MONTH(tbl_daily[[#This Row],[Date]])</f>
        <v>9</v>
      </c>
      <c r="U274" t="str">
        <f>"Q"&amp;ROUNDUP(MONTH(tbl_daily[[#This Row],[Date]])/3,0)</f>
        <v>Q3</v>
      </c>
      <c r="V274" t="str">
        <f>TEXT(tbl_daily[[#This Row],[Date]],"dddd")</f>
        <v>Thursday</v>
      </c>
      <c r="W274" t="str">
        <f t="shared" si="12"/>
        <v>Profitable</v>
      </c>
      <c r="X274">
        <f t="shared" si="13"/>
        <v>31.958726220016537</v>
      </c>
      <c r="Y274">
        <f t="shared" si="14"/>
        <v>18.621257237386267</v>
      </c>
    </row>
    <row r="275" spans="1:25">
      <c r="A275" s="3">
        <v>45184</v>
      </c>
      <c r="B275" s="1">
        <v>5618.329999999999</v>
      </c>
      <c r="C275" s="1">
        <v>5860</v>
      </c>
      <c r="D275" s="1">
        <v>241.67000000000095</v>
      </c>
      <c r="E275" s="1">
        <v>4822.9750000000004</v>
      </c>
      <c r="F275" s="1">
        <v>6150</v>
      </c>
      <c r="G275" s="1">
        <v>1327.0249999999996</v>
      </c>
      <c r="H275" s="1">
        <v>660.79999999999984</v>
      </c>
      <c r="I275" s="1">
        <v>1600</v>
      </c>
      <c r="J275" s="1">
        <v>939.20000000000016</v>
      </c>
      <c r="K275" s="1">
        <v>3183.3333333333335</v>
      </c>
      <c r="L275" s="1">
        <v>4020</v>
      </c>
      <c r="M275" s="1">
        <v>836.66666666666652</v>
      </c>
      <c r="N275" s="1">
        <v>2150</v>
      </c>
      <c r="O275" s="1">
        <v>17630</v>
      </c>
      <c r="P275" s="1">
        <v>3344.5616666666674</v>
      </c>
      <c r="Q275" s="1">
        <v>1194.5616666666674</v>
      </c>
      <c r="R275">
        <f>YEAR(tbl_daily[[#This Row],[Date]])</f>
        <v>2023</v>
      </c>
      <c r="S275" t="str">
        <f>TEXT(tbl_daily[[#This Row],[Date]],"mmmm")</f>
        <v>September</v>
      </c>
      <c r="T275">
        <f>MONTH(tbl_daily[[#This Row],[Date]])</f>
        <v>9</v>
      </c>
      <c r="U275" t="str">
        <f>"Q"&amp;ROUNDUP(MONTH(tbl_daily[[#This Row],[Date]])/3,0)</f>
        <v>Q3</v>
      </c>
      <c r="V275" t="str">
        <f>TEXT(tbl_daily[[#This Row],[Date]],"dddd")</f>
        <v>Friday</v>
      </c>
      <c r="W275" t="str">
        <f t="shared" si="12"/>
        <v>Profitable</v>
      </c>
      <c r="X275">
        <f t="shared" si="13"/>
        <v>18.970854603894878</v>
      </c>
      <c r="Y275">
        <f t="shared" si="14"/>
        <v>6.7757326526753676</v>
      </c>
    </row>
    <row r="276" spans="1:25">
      <c r="A276" s="3">
        <v>45185</v>
      </c>
      <c r="B276" s="1">
        <v>6304.2249999999995</v>
      </c>
      <c r="C276" s="1">
        <v>5600</v>
      </c>
      <c r="D276" s="1">
        <v>-704.22499999999945</v>
      </c>
      <c r="E276" s="1">
        <v>2080.6999999999994</v>
      </c>
      <c r="F276" s="1">
        <v>5450</v>
      </c>
      <c r="G276" s="1">
        <v>3369.3000000000006</v>
      </c>
      <c r="H276" s="1">
        <v>621.75999999999965</v>
      </c>
      <c r="I276" s="1">
        <v>1200</v>
      </c>
      <c r="J276" s="1">
        <v>578.24000000000035</v>
      </c>
      <c r="K276" s="1">
        <v>2893.333333333333</v>
      </c>
      <c r="L276" s="1">
        <v>3620</v>
      </c>
      <c r="M276" s="1">
        <v>726.66666666666708</v>
      </c>
      <c r="N276" s="1">
        <v>2150</v>
      </c>
      <c r="O276" s="1">
        <v>15870</v>
      </c>
      <c r="P276" s="1">
        <v>3969.9816666666688</v>
      </c>
      <c r="Q276" s="1">
        <v>1819.9816666666684</v>
      </c>
      <c r="R276">
        <f>YEAR(tbl_daily[[#This Row],[Date]])</f>
        <v>2023</v>
      </c>
      <c r="S276" t="str">
        <f>TEXT(tbl_daily[[#This Row],[Date]],"mmmm")</f>
        <v>September</v>
      </c>
      <c r="T276">
        <f>MONTH(tbl_daily[[#This Row],[Date]])</f>
        <v>9</v>
      </c>
      <c r="U276" t="str">
        <f>"Q"&amp;ROUNDUP(MONTH(tbl_daily[[#This Row],[Date]])/3,0)</f>
        <v>Q3</v>
      </c>
      <c r="V276" t="str">
        <f>TEXT(tbl_daily[[#This Row],[Date]],"dddd")</f>
        <v>Saturday</v>
      </c>
      <c r="W276" t="str">
        <f t="shared" si="12"/>
        <v>Profitable</v>
      </c>
      <c r="X276">
        <f t="shared" si="13"/>
        <v>25.015637471119529</v>
      </c>
      <c r="Y276">
        <f t="shared" si="14"/>
        <v>11.4680634320521</v>
      </c>
    </row>
    <row r="277" spans="1:25">
      <c r="A277" s="3">
        <v>45186</v>
      </c>
      <c r="B277" s="1">
        <v>6056.89</v>
      </c>
      <c r="C277" s="1">
        <v>10800</v>
      </c>
      <c r="D277" s="1">
        <v>4743.1099999999997</v>
      </c>
      <c r="E277" s="1">
        <v>6031.3750000000009</v>
      </c>
      <c r="F277" s="1">
        <v>12060</v>
      </c>
      <c r="G277" s="1">
        <v>6028.6249999999991</v>
      </c>
      <c r="H277" s="1">
        <v>714.38</v>
      </c>
      <c r="I277" s="1">
        <v>2040</v>
      </c>
      <c r="J277" s="1">
        <v>1325.62</v>
      </c>
      <c r="K277" s="1">
        <v>4061.6666666666665</v>
      </c>
      <c r="L277" s="1">
        <v>5100</v>
      </c>
      <c r="M277" s="1">
        <v>1038.3333333333337</v>
      </c>
      <c r="N277" s="1">
        <v>2150</v>
      </c>
      <c r="O277" s="1">
        <v>30000</v>
      </c>
      <c r="P277" s="1">
        <v>13135.688333333334</v>
      </c>
      <c r="Q277" s="1">
        <v>10985.688333333334</v>
      </c>
      <c r="R277">
        <f>YEAR(tbl_daily[[#This Row],[Date]])</f>
        <v>2023</v>
      </c>
      <c r="S277" t="str">
        <f>TEXT(tbl_daily[[#This Row],[Date]],"mmmm")</f>
        <v>September</v>
      </c>
      <c r="T277">
        <f>MONTH(tbl_daily[[#This Row],[Date]])</f>
        <v>9</v>
      </c>
      <c r="U277" t="str">
        <f>"Q"&amp;ROUNDUP(MONTH(tbl_daily[[#This Row],[Date]])/3,0)</f>
        <v>Q3</v>
      </c>
      <c r="V277" t="str">
        <f>TEXT(tbl_daily[[#This Row],[Date]],"dddd")</f>
        <v>Sunday</v>
      </c>
      <c r="W277" t="str">
        <f t="shared" si="12"/>
        <v>Profitable</v>
      </c>
      <c r="X277">
        <f t="shared" si="13"/>
        <v>43.785627777777783</v>
      </c>
      <c r="Y277">
        <f t="shared" si="14"/>
        <v>36.618961111111112</v>
      </c>
    </row>
    <row r="278" spans="1:25">
      <c r="A278" s="3">
        <v>45187</v>
      </c>
      <c r="B278" s="1">
        <v>7870.7249999999985</v>
      </c>
      <c r="C278" s="1">
        <v>7220</v>
      </c>
      <c r="D278" s="1">
        <v>-650.72499999999854</v>
      </c>
      <c r="E278" s="1">
        <v>4716.4750000000004</v>
      </c>
      <c r="F278" s="1">
        <v>8400</v>
      </c>
      <c r="G278" s="1">
        <v>3683.5250000000001</v>
      </c>
      <c r="H278" s="1">
        <v>1732.69</v>
      </c>
      <c r="I278" s="1">
        <v>4160</v>
      </c>
      <c r="J278" s="1">
        <v>2427.31</v>
      </c>
      <c r="K278" s="1">
        <v>3415</v>
      </c>
      <c r="L278" s="1">
        <v>4330</v>
      </c>
      <c r="M278" s="1">
        <v>915</v>
      </c>
      <c r="N278" s="1">
        <v>2150</v>
      </c>
      <c r="O278" s="1">
        <v>24110</v>
      </c>
      <c r="P278" s="1">
        <v>6375.1100000000006</v>
      </c>
      <c r="Q278" s="1">
        <v>4225.1100000000006</v>
      </c>
      <c r="R278">
        <f>YEAR(tbl_daily[[#This Row],[Date]])</f>
        <v>2023</v>
      </c>
      <c r="S278" t="str">
        <f>TEXT(tbl_daily[[#This Row],[Date]],"mmmm")</f>
        <v>September</v>
      </c>
      <c r="T278">
        <f>MONTH(tbl_daily[[#This Row],[Date]])</f>
        <v>9</v>
      </c>
      <c r="U278" t="str">
        <f>"Q"&amp;ROUNDUP(MONTH(tbl_daily[[#This Row],[Date]])/3,0)</f>
        <v>Q3</v>
      </c>
      <c r="V278" t="str">
        <f>TEXT(tbl_daily[[#This Row],[Date]],"dddd")</f>
        <v>Monday</v>
      </c>
      <c r="W278" t="str">
        <f t="shared" si="12"/>
        <v>Profitable</v>
      </c>
      <c r="X278">
        <f t="shared" si="13"/>
        <v>26.441766901700543</v>
      </c>
      <c r="Y278">
        <f t="shared" si="14"/>
        <v>17.52430526752385</v>
      </c>
    </row>
    <row r="279" spans="1:25">
      <c r="A279" s="3">
        <v>45188</v>
      </c>
      <c r="B279" s="1">
        <v>4743.085</v>
      </c>
      <c r="C279" s="1">
        <v>7560</v>
      </c>
      <c r="D279" s="1">
        <v>2816.915</v>
      </c>
      <c r="E279" s="1">
        <v>1411.3749999999995</v>
      </c>
      <c r="F279" s="1">
        <v>4050</v>
      </c>
      <c r="G279" s="1">
        <v>2638.6250000000005</v>
      </c>
      <c r="H279" s="1">
        <v>1065.02</v>
      </c>
      <c r="I279" s="1">
        <v>1960</v>
      </c>
      <c r="J279" s="1">
        <v>894.98</v>
      </c>
      <c r="K279" s="1">
        <v>2500</v>
      </c>
      <c r="L279" s="1">
        <v>3130</v>
      </c>
      <c r="M279" s="1">
        <v>630</v>
      </c>
      <c r="N279" s="1">
        <v>2150</v>
      </c>
      <c r="O279" s="1">
        <v>16700</v>
      </c>
      <c r="P279" s="1">
        <v>6980.52</v>
      </c>
      <c r="Q279" s="1">
        <v>4830.5200000000004</v>
      </c>
      <c r="R279">
        <f>YEAR(tbl_daily[[#This Row],[Date]])</f>
        <v>2023</v>
      </c>
      <c r="S279" t="str">
        <f>TEXT(tbl_daily[[#This Row],[Date]],"mmmm")</f>
        <v>September</v>
      </c>
      <c r="T279">
        <f>MONTH(tbl_daily[[#This Row],[Date]])</f>
        <v>9</v>
      </c>
      <c r="U279" t="str">
        <f>"Q"&amp;ROUNDUP(MONTH(tbl_daily[[#This Row],[Date]])/3,0)</f>
        <v>Q3</v>
      </c>
      <c r="V279" t="str">
        <f>TEXT(tbl_daily[[#This Row],[Date]],"dddd")</f>
        <v>Tuesday</v>
      </c>
      <c r="W279" t="str">
        <f t="shared" si="12"/>
        <v>Profitable</v>
      </c>
      <c r="X279">
        <f t="shared" si="13"/>
        <v>41.799520958083832</v>
      </c>
      <c r="Y279">
        <f t="shared" si="14"/>
        <v>28.925269461077846</v>
      </c>
    </row>
    <row r="280" spans="1:25">
      <c r="A280" s="3">
        <v>45189</v>
      </c>
      <c r="B280" s="1">
        <v>4646.4299999999994</v>
      </c>
      <c r="C280" s="1">
        <v>7710</v>
      </c>
      <c r="D280" s="1">
        <v>3063.5700000000006</v>
      </c>
      <c r="E280" s="1">
        <v>4048.5500000000006</v>
      </c>
      <c r="F280" s="1">
        <v>7350</v>
      </c>
      <c r="G280" s="1">
        <v>3301.4499999999989</v>
      </c>
      <c r="H280" s="1">
        <v>1590.3599999999997</v>
      </c>
      <c r="I280" s="1">
        <v>3880</v>
      </c>
      <c r="J280" s="1">
        <v>2289.64</v>
      </c>
      <c r="K280" s="1">
        <v>3118.3333333333335</v>
      </c>
      <c r="L280" s="1">
        <v>3950</v>
      </c>
      <c r="M280" s="1">
        <v>831.66666666666652</v>
      </c>
      <c r="N280" s="1">
        <v>2150</v>
      </c>
      <c r="O280" s="1">
        <v>22890</v>
      </c>
      <c r="P280" s="1">
        <v>9486.3266666666659</v>
      </c>
      <c r="Q280" s="1">
        <v>7336.3266666666659</v>
      </c>
      <c r="R280">
        <f>YEAR(tbl_daily[[#This Row],[Date]])</f>
        <v>2023</v>
      </c>
      <c r="S280" t="str">
        <f>TEXT(tbl_daily[[#This Row],[Date]],"mmmm")</f>
        <v>September</v>
      </c>
      <c r="T280">
        <f>MONTH(tbl_daily[[#This Row],[Date]])</f>
        <v>9</v>
      </c>
      <c r="U280" t="str">
        <f>"Q"&amp;ROUNDUP(MONTH(tbl_daily[[#This Row],[Date]])/3,0)</f>
        <v>Q3</v>
      </c>
      <c r="V280" t="str">
        <f>TEXT(tbl_daily[[#This Row],[Date]],"dddd")</f>
        <v>Wednesday</v>
      </c>
      <c r="W280" t="str">
        <f t="shared" si="12"/>
        <v>Profitable</v>
      </c>
      <c r="X280">
        <f t="shared" si="13"/>
        <v>41.443104703655159</v>
      </c>
      <c r="Y280">
        <f t="shared" si="14"/>
        <v>32.050356778797138</v>
      </c>
    </row>
    <row r="281" spans="1:25">
      <c r="A281" s="3">
        <v>45190</v>
      </c>
      <c r="B281" s="1">
        <v>5778.98</v>
      </c>
      <c r="C281" s="1">
        <v>5140</v>
      </c>
      <c r="D281" s="1">
        <v>-638.97999999999956</v>
      </c>
      <c r="E281" s="1">
        <v>1538.9</v>
      </c>
      <c r="F281" s="1">
        <v>4350</v>
      </c>
      <c r="G281" s="1">
        <v>2811.1</v>
      </c>
      <c r="H281" s="1">
        <v>329.65999999999991</v>
      </c>
      <c r="I281" s="1">
        <v>1280</v>
      </c>
      <c r="J281" s="1">
        <v>950.34000000000015</v>
      </c>
      <c r="K281" s="1">
        <v>3953.333333333333</v>
      </c>
      <c r="L281" s="1">
        <v>4920</v>
      </c>
      <c r="M281" s="1">
        <v>966.66666666666708</v>
      </c>
      <c r="N281" s="1">
        <v>2150</v>
      </c>
      <c r="O281" s="1">
        <v>15690</v>
      </c>
      <c r="P281" s="1">
        <v>4089.126666666667</v>
      </c>
      <c r="Q281" s="1">
        <v>1939.1266666666677</v>
      </c>
      <c r="R281">
        <f>YEAR(tbl_daily[[#This Row],[Date]])</f>
        <v>2023</v>
      </c>
      <c r="S281" t="str">
        <f>TEXT(tbl_daily[[#This Row],[Date]],"mmmm")</f>
        <v>September</v>
      </c>
      <c r="T281">
        <f>MONTH(tbl_daily[[#This Row],[Date]])</f>
        <v>9</v>
      </c>
      <c r="U281" t="str">
        <f>"Q"&amp;ROUNDUP(MONTH(tbl_daily[[#This Row],[Date]])/3,0)</f>
        <v>Q3</v>
      </c>
      <c r="V281" t="str">
        <f>TEXT(tbl_daily[[#This Row],[Date]],"dddd")</f>
        <v>Thursday</v>
      </c>
      <c r="W281" t="str">
        <f t="shared" si="12"/>
        <v>Profitable</v>
      </c>
      <c r="X281">
        <f t="shared" si="13"/>
        <v>26.061992776715531</v>
      </c>
      <c r="Y281">
        <f t="shared" si="14"/>
        <v>12.358997238155943</v>
      </c>
    </row>
    <row r="282" spans="1:25">
      <c r="A282" s="3">
        <v>45191</v>
      </c>
      <c r="B282" s="1">
        <v>7568.5349999999999</v>
      </c>
      <c r="C282" s="1">
        <v>6280</v>
      </c>
      <c r="D282" s="1">
        <v>-1288.5350000000001</v>
      </c>
      <c r="E282" s="1">
        <v>5704.85</v>
      </c>
      <c r="F282" s="1">
        <v>10650</v>
      </c>
      <c r="G282" s="1">
        <v>4945.1499999999996</v>
      </c>
      <c r="H282" s="1">
        <v>1298.1100000000004</v>
      </c>
      <c r="I282" s="1">
        <v>3080</v>
      </c>
      <c r="J282" s="1">
        <v>1781.8899999999996</v>
      </c>
      <c r="K282" s="1">
        <v>4440</v>
      </c>
      <c r="L282" s="1">
        <v>5540</v>
      </c>
      <c r="M282" s="1">
        <v>1100</v>
      </c>
      <c r="N282" s="1">
        <v>2150</v>
      </c>
      <c r="O282" s="1">
        <v>25550</v>
      </c>
      <c r="P282" s="1">
        <v>6538.5049999999992</v>
      </c>
      <c r="Q282" s="1">
        <v>4388.5049999999992</v>
      </c>
      <c r="R282">
        <f>YEAR(tbl_daily[[#This Row],[Date]])</f>
        <v>2023</v>
      </c>
      <c r="S282" t="str">
        <f>TEXT(tbl_daily[[#This Row],[Date]],"mmmm")</f>
        <v>September</v>
      </c>
      <c r="T282">
        <f>MONTH(tbl_daily[[#This Row],[Date]])</f>
        <v>9</v>
      </c>
      <c r="U282" t="str">
        <f>"Q"&amp;ROUNDUP(MONTH(tbl_daily[[#This Row],[Date]])/3,0)</f>
        <v>Q3</v>
      </c>
      <c r="V282" t="str">
        <f>TEXT(tbl_daily[[#This Row],[Date]],"dddd")</f>
        <v>Friday</v>
      </c>
      <c r="W282" t="str">
        <f t="shared" si="12"/>
        <v>Profitable</v>
      </c>
      <c r="X282">
        <f t="shared" si="13"/>
        <v>25.591017612524457</v>
      </c>
      <c r="Y282">
        <f t="shared" si="14"/>
        <v>17.176144814090016</v>
      </c>
    </row>
    <row r="283" spans="1:25">
      <c r="A283" s="3">
        <v>45192</v>
      </c>
      <c r="B283" s="1">
        <v>5977.4999999999973</v>
      </c>
      <c r="C283" s="1">
        <v>7240</v>
      </c>
      <c r="D283" s="1">
        <v>1262.5000000000027</v>
      </c>
      <c r="E283" s="1">
        <v>3750.6750000000002</v>
      </c>
      <c r="F283" s="1">
        <v>5270</v>
      </c>
      <c r="G283" s="1">
        <v>1519.3250000000005</v>
      </c>
      <c r="H283" s="1">
        <v>1373.4</v>
      </c>
      <c r="I283" s="1">
        <v>3880</v>
      </c>
      <c r="J283" s="1">
        <v>2506.6</v>
      </c>
      <c r="K283" s="1">
        <v>2183.3333333333335</v>
      </c>
      <c r="L283" s="1">
        <v>2750</v>
      </c>
      <c r="M283" s="1">
        <v>566.66666666666652</v>
      </c>
      <c r="N283" s="1">
        <v>2150</v>
      </c>
      <c r="O283" s="1">
        <v>19140</v>
      </c>
      <c r="P283" s="1">
        <v>5855.091666666669</v>
      </c>
      <c r="Q283" s="1">
        <v>3705.091666666669</v>
      </c>
      <c r="R283">
        <f>YEAR(tbl_daily[[#This Row],[Date]])</f>
        <v>2023</v>
      </c>
      <c r="S283" t="str">
        <f>TEXT(tbl_daily[[#This Row],[Date]],"mmmm")</f>
        <v>September</v>
      </c>
      <c r="T283">
        <f>MONTH(tbl_daily[[#This Row],[Date]])</f>
        <v>9</v>
      </c>
      <c r="U283" t="str">
        <f>"Q"&amp;ROUNDUP(MONTH(tbl_daily[[#This Row],[Date]])/3,0)</f>
        <v>Q3</v>
      </c>
      <c r="V283" t="str">
        <f>TEXT(tbl_daily[[#This Row],[Date]],"dddd")</f>
        <v>Saturday</v>
      </c>
      <c r="W283" t="str">
        <f t="shared" si="12"/>
        <v>Profitable</v>
      </c>
      <c r="X283">
        <f t="shared" si="13"/>
        <v>30.590865552072461</v>
      </c>
      <c r="Y283">
        <f t="shared" si="14"/>
        <v>19.357845698362951</v>
      </c>
    </row>
    <row r="284" spans="1:25">
      <c r="A284" s="3">
        <v>45193</v>
      </c>
      <c r="B284" s="1">
        <v>6429.9000000000005</v>
      </c>
      <c r="C284" s="1">
        <v>7310</v>
      </c>
      <c r="D284" s="1">
        <v>880.09999999999957</v>
      </c>
      <c r="E284" s="1">
        <v>2893.4</v>
      </c>
      <c r="F284" s="1">
        <v>4000</v>
      </c>
      <c r="G284" s="1">
        <v>1106.5999999999999</v>
      </c>
      <c r="H284" s="1">
        <v>448.31000000000006</v>
      </c>
      <c r="I284" s="1">
        <v>1280</v>
      </c>
      <c r="J284" s="1">
        <v>831.68999999999994</v>
      </c>
      <c r="K284" s="1">
        <v>1840</v>
      </c>
      <c r="L284" s="1">
        <v>2280</v>
      </c>
      <c r="M284" s="1">
        <v>439.99999999999977</v>
      </c>
      <c r="N284" s="1">
        <v>2150</v>
      </c>
      <c r="O284" s="1">
        <v>14870</v>
      </c>
      <c r="P284" s="1">
        <v>3258.3899999999994</v>
      </c>
      <c r="Q284" s="1">
        <v>1108.3899999999994</v>
      </c>
      <c r="R284">
        <f>YEAR(tbl_daily[[#This Row],[Date]])</f>
        <v>2023</v>
      </c>
      <c r="S284" t="str">
        <f>TEXT(tbl_daily[[#This Row],[Date]],"mmmm")</f>
        <v>September</v>
      </c>
      <c r="T284">
        <f>MONTH(tbl_daily[[#This Row],[Date]])</f>
        <v>9</v>
      </c>
      <c r="U284" t="str">
        <f>"Q"&amp;ROUNDUP(MONTH(tbl_daily[[#This Row],[Date]])/3,0)</f>
        <v>Q3</v>
      </c>
      <c r="V284" t="str">
        <f>TEXT(tbl_daily[[#This Row],[Date]],"dddd")</f>
        <v>Sunday</v>
      </c>
      <c r="W284" t="str">
        <f t="shared" si="12"/>
        <v>Profitable</v>
      </c>
      <c r="X284">
        <f t="shared" si="13"/>
        <v>21.912508406186952</v>
      </c>
      <c r="Y284">
        <f t="shared" si="14"/>
        <v>7.4538668459986512</v>
      </c>
    </row>
    <row r="285" spans="1:25">
      <c r="A285" s="3">
        <v>45194</v>
      </c>
      <c r="B285" s="1">
        <v>5764.38</v>
      </c>
      <c r="C285" s="1">
        <v>8680</v>
      </c>
      <c r="D285" s="1">
        <v>2915.62</v>
      </c>
      <c r="E285" s="1">
        <v>3324.5999999999995</v>
      </c>
      <c r="F285" s="1">
        <v>6850</v>
      </c>
      <c r="G285" s="1">
        <v>3525.4000000000005</v>
      </c>
      <c r="H285" s="1">
        <v>656.71999999999991</v>
      </c>
      <c r="I285" s="1">
        <v>2160</v>
      </c>
      <c r="J285" s="1">
        <v>1503.2800000000002</v>
      </c>
      <c r="K285" s="1">
        <v>2310.0000000000005</v>
      </c>
      <c r="L285" s="1">
        <v>2880</v>
      </c>
      <c r="M285" s="1">
        <v>569.99999999999955</v>
      </c>
      <c r="N285" s="1">
        <v>2150</v>
      </c>
      <c r="O285" s="1">
        <v>20570</v>
      </c>
      <c r="P285" s="1">
        <v>8514.3000000000011</v>
      </c>
      <c r="Q285" s="1">
        <v>6364.3000000000011</v>
      </c>
      <c r="R285">
        <f>YEAR(tbl_daily[[#This Row],[Date]])</f>
        <v>2023</v>
      </c>
      <c r="S285" t="str">
        <f>TEXT(tbl_daily[[#This Row],[Date]],"mmmm")</f>
        <v>September</v>
      </c>
      <c r="T285">
        <f>MONTH(tbl_daily[[#This Row],[Date]])</f>
        <v>9</v>
      </c>
      <c r="U285" t="str">
        <f>"Q"&amp;ROUNDUP(MONTH(tbl_daily[[#This Row],[Date]])/3,0)</f>
        <v>Q3</v>
      </c>
      <c r="V285" t="str">
        <f>TEXT(tbl_daily[[#This Row],[Date]],"dddd")</f>
        <v>Monday</v>
      </c>
      <c r="W285" t="str">
        <f t="shared" si="12"/>
        <v>Profitable</v>
      </c>
      <c r="X285">
        <f t="shared" si="13"/>
        <v>41.39183276616432</v>
      </c>
      <c r="Y285">
        <f t="shared" si="14"/>
        <v>30.939718035974728</v>
      </c>
    </row>
    <row r="286" spans="1:25">
      <c r="A286" s="3">
        <v>45195</v>
      </c>
      <c r="B286" s="1">
        <v>8726.7349999999969</v>
      </c>
      <c r="C286" s="1">
        <v>4980</v>
      </c>
      <c r="D286" s="1">
        <v>-3746.7349999999969</v>
      </c>
      <c r="E286" s="1">
        <v>3940.775000000001</v>
      </c>
      <c r="F286" s="1">
        <v>9300</v>
      </c>
      <c r="G286" s="1">
        <v>5359.2249999999995</v>
      </c>
      <c r="H286" s="1">
        <v>830.81000000000017</v>
      </c>
      <c r="I286" s="1">
        <v>1280</v>
      </c>
      <c r="J286" s="1">
        <v>449.18999999999983</v>
      </c>
      <c r="K286" s="1">
        <v>2661.6666666666665</v>
      </c>
      <c r="L286" s="1">
        <v>3340</v>
      </c>
      <c r="M286" s="1">
        <v>678.33333333333348</v>
      </c>
      <c r="N286" s="1">
        <v>2150</v>
      </c>
      <c r="O286" s="1">
        <v>18900</v>
      </c>
      <c r="P286" s="1">
        <v>2740.0133333333356</v>
      </c>
      <c r="Q286" s="1">
        <v>590.01333333333559</v>
      </c>
      <c r="R286">
        <f>YEAR(tbl_daily[[#This Row],[Date]])</f>
        <v>2023</v>
      </c>
      <c r="S286" t="str">
        <f>TEXT(tbl_daily[[#This Row],[Date]],"mmmm")</f>
        <v>September</v>
      </c>
      <c r="T286">
        <f>MONTH(tbl_daily[[#This Row],[Date]])</f>
        <v>9</v>
      </c>
      <c r="U286" t="str">
        <f>"Q"&amp;ROUNDUP(MONTH(tbl_daily[[#This Row],[Date]])/3,0)</f>
        <v>Q3</v>
      </c>
      <c r="V286" t="str">
        <f>TEXT(tbl_daily[[#This Row],[Date]],"dddd")</f>
        <v>Tuesday</v>
      </c>
      <c r="W286" t="str">
        <f t="shared" si="12"/>
        <v>Profitable</v>
      </c>
      <c r="X286">
        <f t="shared" si="13"/>
        <v>14.497425044091722</v>
      </c>
      <c r="Y286">
        <f t="shared" si="14"/>
        <v>3.1217636684303471</v>
      </c>
    </row>
    <row r="287" spans="1:25">
      <c r="A287" s="3">
        <v>45196</v>
      </c>
      <c r="B287" s="1">
        <v>6039.71</v>
      </c>
      <c r="C287" s="1">
        <v>9370</v>
      </c>
      <c r="D287" s="1">
        <v>3330.29</v>
      </c>
      <c r="E287" s="1">
        <v>3028.4</v>
      </c>
      <c r="F287" s="1">
        <v>6350</v>
      </c>
      <c r="G287" s="1">
        <v>3321.6</v>
      </c>
      <c r="H287" s="1">
        <v>1330.26</v>
      </c>
      <c r="I287" s="1">
        <v>1480</v>
      </c>
      <c r="J287" s="1">
        <v>149.74</v>
      </c>
      <c r="K287" s="1">
        <v>2343.333333333333</v>
      </c>
      <c r="L287" s="1">
        <v>2990</v>
      </c>
      <c r="M287" s="1">
        <v>646.66666666666697</v>
      </c>
      <c r="N287" s="1">
        <v>2150</v>
      </c>
      <c r="O287" s="1">
        <v>20190</v>
      </c>
      <c r="P287" s="1">
        <v>7448.2966666666653</v>
      </c>
      <c r="Q287" s="1">
        <v>5298.2966666666662</v>
      </c>
      <c r="R287">
        <f>YEAR(tbl_daily[[#This Row],[Date]])</f>
        <v>2023</v>
      </c>
      <c r="S287" t="str">
        <f>TEXT(tbl_daily[[#This Row],[Date]],"mmmm")</f>
        <v>September</v>
      </c>
      <c r="T287">
        <f>MONTH(tbl_daily[[#This Row],[Date]])</f>
        <v>9</v>
      </c>
      <c r="U287" t="str">
        <f>"Q"&amp;ROUNDUP(MONTH(tbl_daily[[#This Row],[Date]])/3,0)</f>
        <v>Q3</v>
      </c>
      <c r="V287" t="str">
        <f>TEXT(tbl_daily[[#This Row],[Date]],"dddd")</f>
        <v>Wednesday</v>
      </c>
      <c r="W287" t="str">
        <f t="shared" si="12"/>
        <v>Profitable</v>
      </c>
      <c r="X287">
        <f t="shared" si="13"/>
        <v>36.891018656100371</v>
      </c>
      <c r="Y287">
        <f t="shared" si="14"/>
        <v>26.242182598646192</v>
      </c>
    </row>
    <row r="288" spans="1:25">
      <c r="A288" s="3">
        <v>45197</v>
      </c>
      <c r="B288" s="1">
        <v>6329.9000000000015</v>
      </c>
      <c r="C288" s="1">
        <v>8360</v>
      </c>
      <c r="D288" s="1">
        <v>2030.0999999999983</v>
      </c>
      <c r="E288" s="1">
        <v>4078.4749999999999</v>
      </c>
      <c r="F288" s="1">
        <v>6950</v>
      </c>
      <c r="G288" s="1">
        <v>2871.5250000000001</v>
      </c>
      <c r="H288" s="1">
        <v>702.18</v>
      </c>
      <c r="I288" s="1">
        <v>1780</v>
      </c>
      <c r="J288" s="1">
        <v>1077.8200000000002</v>
      </c>
      <c r="K288" s="1">
        <v>1861.6666666666667</v>
      </c>
      <c r="L288" s="1">
        <v>2410</v>
      </c>
      <c r="M288" s="1">
        <v>548.33333333333326</v>
      </c>
      <c r="N288" s="1">
        <v>2150</v>
      </c>
      <c r="O288" s="1">
        <v>19500</v>
      </c>
      <c r="P288" s="1">
        <v>6527.7783333333309</v>
      </c>
      <c r="Q288" s="1">
        <v>4377.7783333333309</v>
      </c>
      <c r="R288">
        <f>YEAR(tbl_daily[[#This Row],[Date]])</f>
        <v>2023</v>
      </c>
      <c r="S288" t="str">
        <f>TEXT(tbl_daily[[#This Row],[Date]],"mmmm")</f>
        <v>September</v>
      </c>
      <c r="T288">
        <f>MONTH(tbl_daily[[#This Row],[Date]])</f>
        <v>9</v>
      </c>
      <c r="U288" t="str">
        <f>"Q"&amp;ROUNDUP(MONTH(tbl_daily[[#This Row],[Date]])/3,0)</f>
        <v>Q3</v>
      </c>
      <c r="V288" t="str">
        <f>TEXT(tbl_daily[[#This Row],[Date]],"dddd")</f>
        <v>Thursday</v>
      </c>
      <c r="W288" t="str">
        <f t="shared" si="12"/>
        <v>Profitable</v>
      </c>
      <c r="X288">
        <f t="shared" si="13"/>
        <v>33.475786324786313</v>
      </c>
      <c r="Y288">
        <f t="shared" si="14"/>
        <v>22.450145299145284</v>
      </c>
    </row>
    <row r="289" spans="1:25">
      <c r="A289" s="3">
        <v>45198</v>
      </c>
      <c r="B289" s="1">
        <v>9561.1450000000004</v>
      </c>
      <c r="C289" s="1">
        <v>12320</v>
      </c>
      <c r="D289" s="1">
        <v>2758.8549999999996</v>
      </c>
      <c r="E289" s="1">
        <v>4997.6249999999991</v>
      </c>
      <c r="F289" s="1">
        <v>10240</v>
      </c>
      <c r="G289" s="1">
        <v>5242.3750000000009</v>
      </c>
      <c r="H289" s="1">
        <v>911.97999999999979</v>
      </c>
      <c r="I289" s="1">
        <v>2360</v>
      </c>
      <c r="J289" s="1">
        <v>1448.02</v>
      </c>
      <c r="K289" s="1">
        <v>2281.6666666666665</v>
      </c>
      <c r="L289" s="1">
        <v>2930</v>
      </c>
      <c r="M289" s="1">
        <v>648.33333333333348</v>
      </c>
      <c r="N289" s="1">
        <v>2150</v>
      </c>
      <c r="O289" s="1">
        <v>27850</v>
      </c>
      <c r="P289" s="1">
        <v>10097.583333333334</v>
      </c>
      <c r="Q289" s="1">
        <v>7947.5833333333348</v>
      </c>
      <c r="R289">
        <f>YEAR(tbl_daily[[#This Row],[Date]])</f>
        <v>2023</v>
      </c>
      <c r="S289" t="str">
        <f>TEXT(tbl_daily[[#This Row],[Date]],"mmmm")</f>
        <v>September</v>
      </c>
      <c r="T289">
        <f>MONTH(tbl_daily[[#This Row],[Date]])</f>
        <v>9</v>
      </c>
      <c r="U289" t="str">
        <f>"Q"&amp;ROUNDUP(MONTH(tbl_daily[[#This Row],[Date]])/3,0)</f>
        <v>Q3</v>
      </c>
      <c r="V289" t="str">
        <f>TEXT(tbl_daily[[#This Row],[Date]],"dddd")</f>
        <v>Friday</v>
      </c>
      <c r="W289" t="str">
        <f t="shared" si="12"/>
        <v>Profitable</v>
      </c>
      <c r="X289">
        <f t="shared" si="13"/>
        <v>36.25703171753441</v>
      </c>
      <c r="Y289">
        <f t="shared" si="14"/>
        <v>28.537103530819873</v>
      </c>
    </row>
    <row r="290" spans="1:25">
      <c r="A290" s="3">
        <v>45199</v>
      </c>
      <c r="B290" s="1">
        <v>7984.7499999999964</v>
      </c>
      <c r="C290" s="1">
        <v>6530</v>
      </c>
      <c r="D290" s="1">
        <v>-1454.7499999999973</v>
      </c>
      <c r="E290" s="1">
        <v>4228.4500000000007</v>
      </c>
      <c r="F290" s="1">
        <v>6410</v>
      </c>
      <c r="G290" s="1">
        <v>2181.5499999999993</v>
      </c>
      <c r="H290" s="1">
        <v>1063.1000000000001</v>
      </c>
      <c r="I290" s="1">
        <v>3140</v>
      </c>
      <c r="J290" s="1">
        <v>2076.8999999999996</v>
      </c>
      <c r="K290" s="1">
        <v>2935.0000000000005</v>
      </c>
      <c r="L290" s="1">
        <v>3710</v>
      </c>
      <c r="M290" s="1">
        <v>774.99999999999955</v>
      </c>
      <c r="N290" s="1">
        <v>2150</v>
      </c>
      <c r="O290" s="1">
        <v>19790</v>
      </c>
      <c r="P290" s="1">
        <v>3578.7000000000012</v>
      </c>
      <c r="Q290" s="1">
        <v>1428.7000000000012</v>
      </c>
      <c r="R290">
        <f>YEAR(tbl_daily[[#This Row],[Date]])</f>
        <v>2023</v>
      </c>
      <c r="S290" t="str">
        <f>TEXT(tbl_daily[[#This Row],[Date]],"mmmm")</f>
        <v>September</v>
      </c>
      <c r="T290">
        <f>MONTH(tbl_daily[[#This Row],[Date]])</f>
        <v>9</v>
      </c>
      <c r="U290" t="str">
        <f>"Q"&amp;ROUNDUP(MONTH(tbl_daily[[#This Row],[Date]])/3,0)</f>
        <v>Q3</v>
      </c>
      <c r="V290" t="str">
        <f>TEXT(tbl_daily[[#This Row],[Date]],"dddd")</f>
        <v>Saturday</v>
      </c>
      <c r="W290" t="str">
        <f t="shared" si="12"/>
        <v>Profitable</v>
      </c>
      <c r="X290">
        <f t="shared" si="13"/>
        <v>18.083375442142501</v>
      </c>
      <c r="Y290">
        <f t="shared" si="14"/>
        <v>7.2193026781202692</v>
      </c>
    </row>
    <row r="291" spans="1:25">
      <c r="A291" s="3">
        <v>45200</v>
      </c>
      <c r="B291" s="1">
        <v>6392.0350000000008</v>
      </c>
      <c r="C291" s="1">
        <v>6510</v>
      </c>
      <c r="D291" s="1">
        <v>117.96499999999924</v>
      </c>
      <c r="E291" s="1">
        <v>2391.9000000000005</v>
      </c>
      <c r="F291" s="1">
        <v>4200</v>
      </c>
      <c r="G291" s="1">
        <v>1808.0999999999997</v>
      </c>
      <c r="H291" s="1">
        <v>1225.7699999999998</v>
      </c>
      <c r="I291" s="1">
        <v>3360</v>
      </c>
      <c r="J291" s="1">
        <v>2134.2300000000005</v>
      </c>
      <c r="K291" s="1">
        <v>2213.3333333333335</v>
      </c>
      <c r="L291" s="1">
        <v>2830</v>
      </c>
      <c r="M291" s="1">
        <v>616.66666666666652</v>
      </c>
      <c r="N291" s="1">
        <v>2150</v>
      </c>
      <c r="O291" s="1">
        <v>16900</v>
      </c>
      <c r="P291" s="1">
        <v>4676.9616666666661</v>
      </c>
      <c r="Q291" s="1">
        <v>2526.9616666666661</v>
      </c>
      <c r="R291">
        <f>YEAR(tbl_daily[[#This Row],[Date]])</f>
        <v>2023</v>
      </c>
      <c r="S291" t="str">
        <f>TEXT(tbl_daily[[#This Row],[Date]],"mmmm")</f>
        <v>October</v>
      </c>
      <c r="T291">
        <f>MONTH(tbl_daily[[#This Row],[Date]])</f>
        <v>10</v>
      </c>
      <c r="U291" t="str">
        <f>"Q"&amp;ROUNDUP(MONTH(tbl_daily[[#This Row],[Date]])/3,0)</f>
        <v>Q4</v>
      </c>
      <c r="V291" t="str">
        <f>TEXT(tbl_daily[[#This Row],[Date]],"dddd")</f>
        <v>Sunday</v>
      </c>
      <c r="W291" t="str">
        <f t="shared" si="12"/>
        <v>Profitable</v>
      </c>
      <c r="X291">
        <f t="shared" si="13"/>
        <v>27.674329388560153</v>
      </c>
      <c r="Y291">
        <f t="shared" si="14"/>
        <v>14.952435897435896</v>
      </c>
    </row>
    <row r="292" spans="1:25">
      <c r="A292" s="3">
        <v>45201</v>
      </c>
      <c r="B292" s="1">
        <v>6617.44</v>
      </c>
      <c r="C292" s="1">
        <v>8710</v>
      </c>
      <c r="D292" s="1">
        <v>2092.5600000000004</v>
      </c>
      <c r="E292" s="1">
        <v>5858.4150000000009</v>
      </c>
      <c r="F292" s="1">
        <v>10050</v>
      </c>
      <c r="G292" s="1">
        <v>4191.5849999999991</v>
      </c>
      <c r="H292" s="1">
        <v>947.31999999999948</v>
      </c>
      <c r="I292" s="1">
        <v>2360</v>
      </c>
      <c r="J292" s="1">
        <v>1412.6800000000005</v>
      </c>
      <c r="K292" s="1">
        <v>2508.3333333333335</v>
      </c>
      <c r="L292" s="1">
        <v>3150</v>
      </c>
      <c r="M292" s="1">
        <v>641.66666666666652</v>
      </c>
      <c r="N292" s="1">
        <v>2150</v>
      </c>
      <c r="O292" s="1">
        <v>24270</v>
      </c>
      <c r="P292" s="1">
        <v>8338.4916666666668</v>
      </c>
      <c r="Q292" s="1">
        <v>6188.4916666666668</v>
      </c>
      <c r="R292">
        <f>YEAR(tbl_daily[[#This Row],[Date]])</f>
        <v>2023</v>
      </c>
      <c r="S292" t="str">
        <f>TEXT(tbl_daily[[#This Row],[Date]],"mmmm")</f>
        <v>October</v>
      </c>
      <c r="T292">
        <f>MONTH(tbl_daily[[#This Row],[Date]])</f>
        <v>10</v>
      </c>
      <c r="U292" t="str">
        <f>"Q"&amp;ROUNDUP(MONTH(tbl_daily[[#This Row],[Date]])/3,0)</f>
        <v>Q4</v>
      </c>
      <c r="V292" t="str">
        <f>TEXT(tbl_daily[[#This Row],[Date]],"dddd")</f>
        <v>Monday</v>
      </c>
      <c r="W292" t="str">
        <f t="shared" si="12"/>
        <v>Profitable</v>
      </c>
      <c r="X292">
        <f t="shared" si="13"/>
        <v>34.357196813624505</v>
      </c>
      <c r="Y292">
        <f t="shared" si="14"/>
        <v>25.498523554456803</v>
      </c>
    </row>
    <row r="293" spans="1:25">
      <c r="A293" s="3">
        <v>45202</v>
      </c>
      <c r="B293" s="1">
        <v>6731.8050000000012</v>
      </c>
      <c r="C293" s="1">
        <v>6770</v>
      </c>
      <c r="D293" s="1">
        <v>38.194999999998799</v>
      </c>
      <c r="E293" s="1">
        <v>3204.9249999999997</v>
      </c>
      <c r="F293" s="1">
        <v>5150</v>
      </c>
      <c r="G293" s="1">
        <v>1945.0750000000005</v>
      </c>
      <c r="H293" s="1">
        <v>867.7700000000001</v>
      </c>
      <c r="I293" s="1">
        <v>2360</v>
      </c>
      <c r="J293" s="1">
        <v>1492.23</v>
      </c>
      <c r="K293" s="1">
        <v>2170</v>
      </c>
      <c r="L293" s="1">
        <v>2720</v>
      </c>
      <c r="M293" s="1">
        <v>550</v>
      </c>
      <c r="N293" s="1">
        <v>2150</v>
      </c>
      <c r="O293" s="1">
        <v>17000</v>
      </c>
      <c r="P293" s="1">
        <v>4025.4999999999991</v>
      </c>
      <c r="Q293" s="1">
        <v>1875.4999999999991</v>
      </c>
      <c r="R293">
        <f>YEAR(tbl_daily[[#This Row],[Date]])</f>
        <v>2023</v>
      </c>
      <c r="S293" t="str">
        <f>TEXT(tbl_daily[[#This Row],[Date]],"mmmm")</f>
        <v>October</v>
      </c>
      <c r="T293">
        <f>MONTH(tbl_daily[[#This Row],[Date]])</f>
        <v>10</v>
      </c>
      <c r="U293" t="str">
        <f>"Q"&amp;ROUNDUP(MONTH(tbl_daily[[#This Row],[Date]])/3,0)</f>
        <v>Q4</v>
      </c>
      <c r="V293" t="str">
        <f>TEXT(tbl_daily[[#This Row],[Date]],"dddd")</f>
        <v>Tuesday</v>
      </c>
      <c r="W293" t="str">
        <f t="shared" si="12"/>
        <v>Profitable</v>
      </c>
      <c r="X293">
        <f t="shared" si="13"/>
        <v>23.679411764705875</v>
      </c>
      <c r="Y293">
        <f t="shared" si="14"/>
        <v>11.032352941176466</v>
      </c>
    </row>
    <row r="294" spans="1:25">
      <c r="A294" s="3">
        <v>45203</v>
      </c>
      <c r="B294" s="1">
        <v>5978.1349999999993</v>
      </c>
      <c r="C294" s="1">
        <v>6490</v>
      </c>
      <c r="D294" s="1">
        <v>511.86500000000075</v>
      </c>
      <c r="E294" s="1">
        <v>1963.2750000000001</v>
      </c>
      <c r="F294" s="1">
        <v>4150</v>
      </c>
      <c r="G294" s="1">
        <v>2186.7249999999999</v>
      </c>
      <c r="H294" s="1">
        <v>430.46999999999991</v>
      </c>
      <c r="I294" s="1">
        <v>1360</v>
      </c>
      <c r="J294" s="1">
        <v>929.53000000000009</v>
      </c>
      <c r="K294" s="1">
        <v>754.99999999999989</v>
      </c>
      <c r="L294" s="1">
        <v>1020</v>
      </c>
      <c r="M294" s="1">
        <v>265.00000000000011</v>
      </c>
      <c r="N294" s="1">
        <v>2150</v>
      </c>
      <c r="O294" s="1">
        <v>13020</v>
      </c>
      <c r="P294" s="1">
        <v>3893.1200000000008</v>
      </c>
      <c r="Q294" s="1">
        <v>1743.1200000000008</v>
      </c>
      <c r="R294">
        <f>YEAR(tbl_daily[[#This Row],[Date]])</f>
        <v>2023</v>
      </c>
      <c r="S294" t="str">
        <f>TEXT(tbl_daily[[#This Row],[Date]],"mmmm")</f>
        <v>October</v>
      </c>
      <c r="T294">
        <f>MONTH(tbl_daily[[#This Row],[Date]])</f>
        <v>10</v>
      </c>
      <c r="U294" t="str">
        <f>"Q"&amp;ROUNDUP(MONTH(tbl_daily[[#This Row],[Date]])/3,0)</f>
        <v>Q4</v>
      </c>
      <c r="V294" t="str">
        <f>TEXT(tbl_daily[[#This Row],[Date]],"dddd")</f>
        <v>Wednesday</v>
      </c>
      <c r="W294" t="str">
        <f t="shared" si="12"/>
        <v>Profitable</v>
      </c>
      <c r="X294">
        <f t="shared" si="13"/>
        <v>29.901075268817213</v>
      </c>
      <c r="Y294">
        <f t="shared" si="14"/>
        <v>13.388018433179729</v>
      </c>
    </row>
    <row r="295" spans="1:25">
      <c r="A295" s="3">
        <v>45204</v>
      </c>
      <c r="B295" s="1">
        <v>4523.1050000000014</v>
      </c>
      <c r="C295" s="1">
        <v>6000</v>
      </c>
      <c r="D295" s="1">
        <v>1476.8949999999986</v>
      </c>
      <c r="E295" s="1">
        <v>1263.1249999999998</v>
      </c>
      <c r="F295" s="1">
        <v>2200</v>
      </c>
      <c r="G295" s="1">
        <v>936.87500000000011</v>
      </c>
      <c r="H295" s="1">
        <v>1167.42</v>
      </c>
      <c r="I295" s="1">
        <v>2940</v>
      </c>
      <c r="J295" s="1">
        <v>1772.58</v>
      </c>
      <c r="K295" s="1">
        <v>2200</v>
      </c>
      <c r="L295" s="1">
        <v>2780</v>
      </c>
      <c r="M295" s="1">
        <v>580</v>
      </c>
      <c r="N295" s="1">
        <v>2150</v>
      </c>
      <c r="O295" s="1">
        <v>13920</v>
      </c>
      <c r="P295" s="1">
        <v>4766.3499999999985</v>
      </c>
      <c r="Q295" s="1">
        <v>2616.3499999999985</v>
      </c>
      <c r="R295">
        <f>YEAR(tbl_daily[[#This Row],[Date]])</f>
        <v>2023</v>
      </c>
      <c r="S295" t="str">
        <f>TEXT(tbl_daily[[#This Row],[Date]],"mmmm")</f>
        <v>October</v>
      </c>
      <c r="T295">
        <f>MONTH(tbl_daily[[#This Row],[Date]])</f>
        <v>10</v>
      </c>
      <c r="U295" t="str">
        <f>"Q"&amp;ROUNDUP(MONTH(tbl_daily[[#This Row],[Date]])/3,0)</f>
        <v>Q4</v>
      </c>
      <c r="V295" t="str">
        <f>TEXT(tbl_daily[[#This Row],[Date]],"dddd")</f>
        <v>Thursday</v>
      </c>
      <c r="W295" t="str">
        <f t="shared" si="12"/>
        <v>Profitable</v>
      </c>
      <c r="X295">
        <f t="shared" si="13"/>
        <v>34.241020114942515</v>
      </c>
      <c r="Y295">
        <f t="shared" si="14"/>
        <v>18.795617816091944</v>
      </c>
    </row>
    <row r="296" spans="1:25">
      <c r="A296" s="3">
        <v>45205</v>
      </c>
      <c r="B296" s="1">
        <v>6249.6349999999993</v>
      </c>
      <c r="C296" s="1">
        <v>8030</v>
      </c>
      <c r="D296" s="1">
        <v>1780.3650000000007</v>
      </c>
      <c r="E296" s="1">
        <v>2212.9749999999995</v>
      </c>
      <c r="F296" s="1">
        <v>5000</v>
      </c>
      <c r="G296" s="1">
        <v>2787.0250000000005</v>
      </c>
      <c r="H296" s="1">
        <v>1292.69</v>
      </c>
      <c r="I296" s="1">
        <v>5700</v>
      </c>
      <c r="J296" s="1">
        <v>4407.3099999999995</v>
      </c>
      <c r="K296" s="1">
        <v>2001.6666666666663</v>
      </c>
      <c r="L296" s="1">
        <v>2530</v>
      </c>
      <c r="M296" s="1">
        <v>528.33333333333348</v>
      </c>
      <c r="N296" s="1">
        <v>2150</v>
      </c>
      <c r="O296" s="1">
        <v>21260</v>
      </c>
      <c r="P296" s="1">
        <v>9503.0333333333347</v>
      </c>
      <c r="Q296" s="1">
        <v>7353.0333333333347</v>
      </c>
      <c r="R296">
        <f>YEAR(tbl_daily[[#This Row],[Date]])</f>
        <v>2023</v>
      </c>
      <c r="S296" t="str">
        <f>TEXT(tbl_daily[[#This Row],[Date]],"mmmm")</f>
        <v>October</v>
      </c>
      <c r="T296">
        <f>MONTH(tbl_daily[[#This Row],[Date]])</f>
        <v>10</v>
      </c>
      <c r="U296" t="str">
        <f>"Q"&amp;ROUNDUP(MONTH(tbl_daily[[#This Row],[Date]])/3,0)</f>
        <v>Q4</v>
      </c>
      <c r="V296" t="str">
        <f>TEXT(tbl_daily[[#This Row],[Date]],"dddd")</f>
        <v>Friday</v>
      </c>
      <c r="W296" t="str">
        <f t="shared" si="12"/>
        <v>Profitable</v>
      </c>
      <c r="X296">
        <f t="shared" si="13"/>
        <v>44.699121981812482</v>
      </c>
      <c r="Y296">
        <f t="shared" si="14"/>
        <v>34.586233929131396</v>
      </c>
    </row>
    <row r="297" spans="1:25">
      <c r="A297" s="3">
        <v>45206</v>
      </c>
      <c r="B297" s="1">
        <v>7000.45</v>
      </c>
      <c r="C297" s="1">
        <v>10080</v>
      </c>
      <c r="D297" s="1">
        <v>3079.55</v>
      </c>
      <c r="E297" s="1">
        <v>1932.075</v>
      </c>
      <c r="F297" s="1">
        <v>3150</v>
      </c>
      <c r="G297" s="1">
        <v>1217.9250000000002</v>
      </c>
      <c r="H297" s="1">
        <v>598.99999999999977</v>
      </c>
      <c r="I297" s="1">
        <v>1000</v>
      </c>
      <c r="J297" s="1">
        <v>401.00000000000023</v>
      </c>
      <c r="K297" s="1">
        <v>2736.666666666667</v>
      </c>
      <c r="L297" s="1">
        <v>3450</v>
      </c>
      <c r="M297" s="1">
        <v>713.33333333333303</v>
      </c>
      <c r="N297" s="1">
        <v>2150</v>
      </c>
      <c r="O297" s="1">
        <v>17680</v>
      </c>
      <c r="P297" s="1">
        <v>5411.8083333333334</v>
      </c>
      <c r="Q297" s="1">
        <v>3261.8083333333334</v>
      </c>
      <c r="R297">
        <f>YEAR(tbl_daily[[#This Row],[Date]])</f>
        <v>2023</v>
      </c>
      <c r="S297" t="str">
        <f>TEXT(tbl_daily[[#This Row],[Date]],"mmmm")</f>
        <v>October</v>
      </c>
      <c r="T297">
        <f>MONTH(tbl_daily[[#This Row],[Date]])</f>
        <v>10</v>
      </c>
      <c r="U297" t="str">
        <f>"Q"&amp;ROUNDUP(MONTH(tbl_daily[[#This Row],[Date]])/3,0)</f>
        <v>Q4</v>
      </c>
      <c r="V297" t="str">
        <f>TEXT(tbl_daily[[#This Row],[Date]],"dddd")</f>
        <v>Saturday</v>
      </c>
      <c r="W297" t="str">
        <f t="shared" si="12"/>
        <v>Profitable</v>
      </c>
      <c r="X297">
        <f t="shared" si="13"/>
        <v>30.609775641025642</v>
      </c>
      <c r="Y297">
        <f t="shared" si="14"/>
        <v>18.449142156862745</v>
      </c>
    </row>
    <row r="298" spans="1:25">
      <c r="A298" s="3">
        <v>45207</v>
      </c>
      <c r="B298" s="1">
        <v>5508.3500000000013</v>
      </c>
      <c r="C298" s="1">
        <v>6870</v>
      </c>
      <c r="D298" s="1">
        <v>1361.6499999999987</v>
      </c>
      <c r="E298" s="1">
        <v>2240.7500000000009</v>
      </c>
      <c r="F298" s="1">
        <v>2350</v>
      </c>
      <c r="G298" s="1">
        <v>109.24999999999908</v>
      </c>
      <c r="H298" s="1">
        <v>776.11999999999989</v>
      </c>
      <c r="I298" s="1">
        <v>2000</v>
      </c>
      <c r="J298" s="1">
        <v>1223.8800000000001</v>
      </c>
      <c r="K298" s="1">
        <v>2291.666666666667</v>
      </c>
      <c r="L298" s="1">
        <v>2900</v>
      </c>
      <c r="M298" s="1">
        <v>608.33333333333303</v>
      </c>
      <c r="N298" s="1">
        <v>2150</v>
      </c>
      <c r="O298" s="1">
        <v>14120</v>
      </c>
      <c r="P298" s="1">
        <v>3303.113333333331</v>
      </c>
      <c r="Q298" s="1">
        <v>1153.113333333331</v>
      </c>
      <c r="R298">
        <f>YEAR(tbl_daily[[#This Row],[Date]])</f>
        <v>2023</v>
      </c>
      <c r="S298" t="str">
        <f>TEXT(tbl_daily[[#This Row],[Date]],"mmmm")</f>
        <v>October</v>
      </c>
      <c r="T298">
        <f>MONTH(tbl_daily[[#This Row],[Date]])</f>
        <v>10</v>
      </c>
      <c r="U298" t="str">
        <f>"Q"&amp;ROUNDUP(MONTH(tbl_daily[[#This Row],[Date]])/3,0)</f>
        <v>Q4</v>
      </c>
      <c r="V298" t="str">
        <f>TEXT(tbl_daily[[#This Row],[Date]],"dddd")</f>
        <v>Sunday</v>
      </c>
      <c r="W298" t="str">
        <f t="shared" si="12"/>
        <v>Profitable</v>
      </c>
      <c r="X298">
        <f t="shared" si="13"/>
        <v>23.393153918791295</v>
      </c>
      <c r="Y298">
        <f t="shared" si="14"/>
        <v>8.1665250236071607</v>
      </c>
    </row>
    <row r="299" spans="1:25">
      <c r="A299" s="3">
        <v>45208</v>
      </c>
      <c r="B299" s="1">
        <v>6465.75</v>
      </c>
      <c r="C299" s="1">
        <v>6840</v>
      </c>
      <c r="D299" s="1">
        <v>374.25</v>
      </c>
      <c r="E299" s="1">
        <v>2049.75</v>
      </c>
      <c r="F299" s="1">
        <v>3450</v>
      </c>
      <c r="G299" s="1">
        <v>1400.25</v>
      </c>
      <c r="H299" s="1">
        <v>230.95</v>
      </c>
      <c r="I299" s="1">
        <v>800</v>
      </c>
      <c r="J299" s="1">
        <v>569.04999999999995</v>
      </c>
      <c r="K299" s="1">
        <v>1140</v>
      </c>
      <c r="L299" s="1">
        <v>1420</v>
      </c>
      <c r="M299" s="1">
        <v>280</v>
      </c>
      <c r="N299" s="1">
        <v>2150</v>
      </c>
      <c r="O299" s="1">
        <v>12510</v>
      </c>
      <c r="P299" s="1">
        <v>2623.55</v>
      </c>
      <c r="Q299" s="1">
        <v>473.55000000000018</v>
      </c>
      <c r="R299">
        <f>YEAR(tbl_daily[[#This Row],[Date]])</f>
        <v>2023</v>
      </c>
      <c r="S299" t="str">
        <f>TEXT(tbl_daily[[#This Row],[Date]],"mmmm")</f>
        <v>October</v>
      </c>
      <c r="T299">
        <f>MONTH(tbl_daily[[#This Row],[Date]])</f>
        <v>10</v>
      </c>
      <c r="U299" t="str">
        <f>"Q"&amp;ROUNDUP(MONTH(tbl_daily[[#This Row],[Date]])/3,0)</f>
        <v>Q4</v>
      </c>
      <c r="V299" t="str">
        <f>TEXT(tbl_daily[[#This Row],[Date]],"dddd")</f>
        <v>Monday</v>
      </c>
      <c r="W299" t="str">
        <f t="shared" si="12"/>
        <v>Profitable</v>
      </c>
      <c r="X299">
        <f t="shared" si="13"/>
        <v>20.97162270183853</v>
      </c>
      <c r="Y299">
        <f t="shared" si="14"/>
        <v>3.7853717026378906</v>
      </c>
    </row>
    <row r="300" spans="1:25">
      <c r="A300" s="3">
        <v>45209</v>
      </c>
      <c r="B300" s="1">
        <v>6016.0650000000005</v>
      </c>
      <c r="C300" s="1">
        <v>6660</v>
      </c>
      <c r="D300" s="1">
        <v>643.93499999999949</v>
      </c>
      <c r="E300" s="1">
        <v>2226.6999999999998</v>
      </c>
      <c r="F300" s="1">
        <v>3600</v>
      </c>
      <c r="G300" s="1">
        <v>1373.3000000000002</v>
      </c>
      <c r="H300" s="1">
        <v>730.16000000000008</v>
      </c>
      <c r="I300" s="1">
        <v>1280</v>
      </c>
      <c r="J300" s="1">
        <v>549.83999999999992</v>
      </c>
      <c r="K300" s="1">
        <v>1763.3333333333333</v>
      </c>
      <c r="L300" s="1">
        <v>2240</v>
      </c>
      <c r="M300" s="1">
        <v>476.66666666666674</v>
      </c>
      <c r="N300" s="1">
        <v>2150</v>
      </c>
      <c r="O300" s="1">
        <v>13780</v>
      </c>
      <c r="P300" s="1">
        <v>3043.7416666666668</v>
      </c>
      <c r="Q300" s="1">
        <v>893.74166666666667</v>
      </c>
      <c r="R300">
        <f>YEAR(tbl_daily[[#This Row],[Date]])</f>
        <v>2023</v>
      </c>
      <c r="S300" t="str">
        <f>TEXT(tbl_daily[[#This Row],[Date]],"mmmm")</f>
        <v>October</v>
      </c>
      <c r="T300">
        <f>MONTH(tbl_daily[[#This Row],[Date]])</f>
        <v>10</v>
      </c>
      <c r="U300" t="str">
        <f>"Q"&amp;ROUNDUP(MONTH(tbl_daily[[#This Row],[Date]])/3,0)</f>
        <v>Q4</v>
      </c>
      <c r="V300" t="str">
        <f>TEXT(tbl_daily[[#This Row],[Date]],"dddd")</f>
        <v>Tuesday</v>
      </c>
      <c r="W300" t="str">
        <f t="shared" si="12"/>
        <v>Profitable</v>
      </c>
      <c r="X300">
        <f t="shared" si="13"/>
        <v>22.088110788582487</v>
      </c>
      <c r="Y300">
        <f t="shared" si="14"/>
        <v>6.4857885824866957</v>
      </c>
    </row>
    <row r="301" spans="1:25">
      <c r="A301" s="3">
        <v>45210</v>
      </c>
      <c r="B301" s="1">
        <v>7980.5050000000028</v>
      </c>
      <c r="C301" s="1">
        <v>7890</v>
      </c>
      <c r="D301" s="1">
        <v>-90.505000000003747</v>
      </c>
      <c r="E301" s="1">
        <v>1906.9000000000003</v>
      </c>
      <c r="F301" s="1">
        <v>4880</v>
      </c>
      <c r="G301" s="1">
        <v>2973.0999999999995</v>
      </c>
      <c r="H301" s="1">
        <v>1209.22</v>
      </c>
      <c r="I301" s="1">
        <v>4360</v>
      </c>
      <c r="J301" s="1">
        <v>3150.7799999999997</v>
      </c>
      <c r="K301" s="1">
        <v>2332.5</v>
      </c>
      <c r="L301" s="1">
        <v>2900</v>
      </c>
      <c r="M301" s="1">
        <v>567.5</v>
      </c>
      <c r="N301" s="1">
        <v>2150</v>
      </c>
      <c r="O301" s="1">
        <v>20030</v>
      </c>
      <c r="P301" s="1">
        <v>6600.8749999999955</v>
      </c>
      <c r="Q301" s="1">
        <v>4450.8749999999955</v>
      </c>
      <c r="R301">
        <f>YEAR(tbl_daily[[#This Row],[Date]])</f>
        <v>2023</v>
      </c>
      <c r="S301" t="str">
        <f>TEXT(tbl_daily[[#This Row],[Date]],"mmmm")</f>
        <v>October</v>
      </c>
      <c r="T301">
        <f>MONTH(tbl_daily[[#This Row],[Date]])</f>
        <v>10</v>
      </c>
      <c r="U301" t="str">
        <f>"Q"&amp;ROUNDUP(MONTH(tbl_daily[[#This Row],[Date]])/3,0)</f>
        <v>Q4</v>
      </c>
      <c r="V301" t="str">
        <f>TEXT(tbl_daily[[#This Row],[Date]],"dddd")</f>
        <v>Wednesday</v>
      </c>
      <c r="W301" t="str">
        <f t="shared" si="12"/>
        <v>Profitable</v>
      </c>
      <c r="X301">
        <f t="shared" si="13"/>
        <v>32.954942586120794</v>
      </c>
      <c r="Y301">
        <f t="shared" si="14"/>
        <v>22.221043434847708</v>
      </c>
    </row>
    <row r="302" spans="1:25">
      <c r="A302" s="3">
        <v>45211</v>
      </c>
      <c r="B302" s="1">
        <v>6973.0499999999984</v>
      </c>
      <c r="C302" s="1">
        <v>7480</v>
      </c>
      <c r="D302" s="1">
        <v>506.95000000000158</v>
      </c>
      <c r="E302" s="1">
        <v>2289.8249999999994</v>
      </c>
      <c r="F302" s="1">
        <v>4380</v>
      </c>
      <c r="G302" s="1">
        <v>2090.1750000000006</v>
      </c>
      <c r="H302" s="1">
        <v>733.18000000000006</v>
      </c>
      <c r="I302" s="1">
        <v>1580</v>
      </c>
      <c r="J302" s="1">
        <v>846.81999999999994</v>
      </c>
      <c r="K302" s="1">
        <v>2423.333333333333</v>
      </c>
      <c r="L302" s="1">
        <v>3050</v>
      </c>
      <c r="M302" s="1">
        <v>626.66666666666697</v>
      </c>
      <c r="N302" s="1">
        <v>2150</v>
      </c>
      <c r="O302" s="1">
        <v>16490</v>
      </c>
      <c r="P302" s="1">
        <v>4070.6116666666694</v>
      </c>
      <c r="Q302" s="1">
        <v>1920.6116666666696</v>
      </c>
      <c r="R302">
        <f>YEAR(tbl_daily[[#This Row],[Date]])</f>
        <v>2023</v>
      </c>
      <c r="S302" t="str">
        <f>TEXT(tbl_daily[[#This Row],[Date]],"mmmm")</f>
        <v>October</v>
      </c>
      <c r="T302">
        <f>MONTH(tbl_daily[[#This Row],[Date]])</f>
        <v>10</v>
      </c>
      <c r="U302" t="str">
        <f>"Q"&amp;ROUNDUP(MONTH(tbl_daily[[#This Row],[Date]])/3,0)</f>
        <v>Q4</v>
      </c>
      <c r="V302" t="str">
        <f>TEXT(tbl_daily[[#This Row],[Date]],"dddd")</f>
        <v>Thursday</v>
      </c>
      <c r="W302" t="str">
        <f t="shared" si="12"/>
        <v>Profitable</v>
      </c>
      <c r="X302">
        <f t="shared" si="13"/>
        <v>24.685334546189626</v>
      </c>
      <c r="Y302">
        <f t="shared" si="14"/>
        <v>11.647129573478894</v>
      </c>
    </row>
    <row r="303" spans="1:25">
      <c r="A303" s="3">
        <v>45212</v>
      </c>
      <c r="B303" s="1">
        <v>5765.4150000000009</v>
      </c>
      <c r="C303" s="1">
        <v>5960</v>
      </c>
      <c r="D303" s="1">
        <v>194.58499999999913</v>
      </c>
      <c r="E303" s="1">
        <v>3876.625</v>
      </c>
      <c r="F303" s="1">
        <v>6850</v>
      </c>
      <c r="G303" s="1">
        <v>2973.375</v>
      </c>
      <c r="H303" s="1">
        <v>730.3000000000003</v>
      </c>
      <c r="I303" s="1">
        <v>1800</v>
      </c>
      <c r="J303" s="1">
        <v>1069.6999999999998</v>
      </c>
      <c r="K303" s="1">
        <v>2196.6666666666665</v>
      </c>
      <c r="L303" s="1">
        <v>2750</v>
      </c>
      <c r="M303" s="1">
        <v>553.33333333333348</v>
      </c>
      <c r="N303" s="1">
        <v>2150</v>
      </c>
      <c r="O303" s="1">
        <v>17360</v>
      </c>
      <c r="P303" s="1">
        <v>4790.993333333332</v>
      </c>
      <c r="Q303" s="1">
        <v>2640.993333333332</v>
      </c>
      <c r="R303">
        <f>YEAR(tbl_daily[[#This Row],[Date]])</f>
        <v>2023</v>
      </c>
      <c r="S303" t="str">
        <f>TEXT(tbl_daily[[#This Row],[Date]],"mmmm")</f>
        <v>October</v>
      </c>
      <c r="T303">
        <f>MONTH(tbl_daily[[#This Row],[Date]])</f>
        <v>10</v>
      </c>
      <c r="U303" t="str">
        <f>"Q"&amp;ROUNDUP(MONTH(tbl_daily[[#This Row],[Date]])/3,0)</f>
        <v>Q4</v>
      </c>
      <c r="V303" t="str">
        <f>TEXT(tbl_daily[[#This Row],[Date]],"dddd")</f>
        <v>Friday</v>
      </c>
      <c r="W303" t="str">
        <f t="shared" si="12"/>
        <v>Profitable</v>
      </c>
      <c r="X303">
        <f t="shared" si="13"/>
        <v>27.597887864823338</v>
      </c>
      <c r="Y303">
        <f t="shared" si="14"/>
        <v>15.213095238095232</v>
      </c>
    </row>
    <row r="304" spans="1:25">
      <c r="A304" s="3">
        <v>45213</v>
      </c>
      <c r="B304" s="1">
        <v>5830.8500000000013</v>
      </c>
      <c r="C304" s="1">
        <v>6230</v>
      </c>
      <c r="D304" s="1">
        <v>399.14999999999873</v>
      </c>
      <c r="E304" s="1">
        <v>2793.0000000000018</v>
      </c>
      <c r="F304" s="1">
        <v>4750</v>
      </c>
      <c r="G304" s="1">
        <v>1956.9999999999984</v>
      </c>
      <c r="H304" s="1">
        <v>607.8599999999999</v>
      </c>
      <c r="I304" s="1">
        <v>1480</v>
      </c>
      <c r="J304" s="1">
        <v>872.1400000000001</v>
      </c>
      <c r="K304" s="1">
        <v>1339.1666666666663</v>
      </c>
      <c r="L304" s="1">
        <v>1710</v>
      </c>
      <c r="M304" s="1">
        <v>370.83333333333343</v>
      </c>
      <c r="N304" s="1">
        <v>2150</v>
      </c>
      <c r="O304" s="1">
        <v>14170</v>
      </c>
      <c r="P304" s="1">
        <v>3599.1233333333307</v>
      </c>
      <c r="Q304" s="1">
        <v>1449.1233333333307</v>
      </c>
      <c r="R304">
        <f>YEAR(tbl_daily[[#This Row],[Date]])</f>
        <v>2023</v>
      </c>
      <c r="S304" t="str">
        <f>TEXT(tbl_daily[[#This Row],[Date]],"mmmm")</f>
        <v>October</v>
      </c>
      <c r="T304">
        <f>MONTH(tbl_daily[[#This Row],[Date]])</f>
        <v>10</v>
      </c>
      <c r="U304" t="str">
        <f>"Q"&amp;ROUNDUP(MONTH(tbl_daily[[#This Row],[Date]])/3,0)</f>
        <v>Q4</v>
      </c>
      <c r="V304" t="str">
        <f>TEXT(tbl_daily[[#This Row],[Date]],"dddd")</f>
        <v>Saturday</v>
      </c>
      <c r="W304" t="str">
        <f t="shared" si="12"/>
        <v>Profitable</v>
      </c>
      <c r="X304">
        <f t="shared" si="13"/>
        <v>25.399600094095486</v>
      </c>
      <c r="Y304">
        <f t="shared" si="14"/>
        <v>10.226699600094078</v>
      </c>
    </row>
    <row r="305" spans="1:25">
      <c r="A305" s="3">
        <v>45214</v>
      </c>
      <c r="B305" s="1">
        <v>8303.42</v>
      </c>
      <c r="C305" s="1">
        <v>7930</v>
      </c>
      <c r="D305" s="1">
        <v>-373.42000000000007</v>
      </c>
      <c r="E305" s="1">
        <v>3924.85</v>
      </c>
      <c r="F305" s="1">
        <v>5750</v>
      </c>
      <c r="G305" s="1">
        <v>1825.1499999999996</v>
      </c>
      <c r="H305" s="1">
        <v>883.3</v>
      </c>
      <c r="I305" s="1">
        <v>2680</v>
      </c>
      <c r="J305" s="1">
        <v>1796.7000000000003</v>
      </c>
      <c r="K305" s="1">
        <v>2146.6666666666665</v>
      </c>
      <c r="L305" s="1">
        <v>2740</v>
      </c>
      <c r="M305" s="1">
        <v>593.33333333333348</v>
      </c>
      <c r="N305" s="1">
        <v>2150</v>
      </c>
      <c r="O305" s="1">
        <v>19100</v>
      </c>
      <c r="P305" s="1">
        <v>3841.7633333333338</v>
      </c>
      <c r="Q305" s="1">
        <v>1691.7633333333331</v>
      </c>
      <c r="R305">
        <f>YEAR(tbl_daily[[#This Row],[Date]])</f>
        <v>2023</v>
      </c>
      <c r="S305" t="str">
        <f>TEXT(tbl_daily[[#This Row],[Date]],"mmmm")</f>
        <v>October</v>
      </c>
      <c r="T305">
        <f>MONTH(tbl_daily[[#This Row],[Date]])</f>
        <v>10</v>
      </c>
      <c r="U305" t="str">
        <f>"Q"&amp;ROUNDUP(MONTH(tbl_daily[[#This Row],[Date]])/3,0)</f>
        <v>Q4</v>
      </c>
      <c r="V305" t="str">
        <f>TEXT(tbl_daily[[#This Row],[Date]],"dddd")</f>
        <v>Sunday</v>
      </c>
      <c r="W305" t="str">
        <f t="shared" si="12"/>
        <v>Profitable</v>
      </c>
      <c r="X305">
        <f t="shared" si="13"/>
        <v>20.113944153577666</v>
      </c>
      <c r="Y305">
        <f t="shared" si="14"/>
        <v>8.8573996509598594</v>
      </c>
    </row>
    <row r="306" spans="1:25">
      <c r="A306" s="3">
        <v>45215</v>
      </c>
      <c r="B306" s="1">
        <v>6897.4800000000014</v>
      </c>
      <c r="C306" s="1">
        <v>5750</v>
      </c>
      <c r="D306" s="1">
        <v>-1147.4800000000014</v>
      </c>
      <c r="E306" s="1">
        <v>969.38499999999965</v>
      </c>
      <c r="F306" s="1">
        <v>2200</v>
      </c>
      <c r="G306" s="1">
        <v>1230.6150000000002</v>
      </c>
      <c r="H306" s="1">
        <v>726.04000000000042</v>
      </c>
      <c r="I306" s="1">
        <v>1080</v>
      </c>
      <c r="J306" s="1">
        <v>353.95999999999964</v>
      </c>
      <c r="K306" s="1">
        <v>1031.6666666666663</v>
      </c>
      <c r="L306" s="1">
        <v>1310</v>
      </c>
      <c r="M306" s="1">
        <v>278.33333333333348</v>
      </c>
      <c r="N306" s="1">
        <v>2150</v>
      </c>
      <c r="O306" s="1">
        <v>10340</v>
      </c>
      <c r="P306" s="1">
        <v>715.42833333333192</v>
      </c>
      <c r="Q306" s="1">
        <v>-1434.5716666666681</v>
      </c>
      <c r="R306">
        <f>YEAR(tbl_daily[[#This Row],[Date]])</f>
        <v>2023</v>
      </c>
      <c r="S306" t="str">
        <f>TEXT(tbl_daily[[#This Row],[Date]],"mmmm")</f>
        <v>October</v>
      </c>
      <c r="T306">
        <f>MONTH(tbl_daily[[#This Row],[Date]])</f>
        <v>10</v>
      </c>
      <c r="U306" t="str">
        <f>"Q"&amp;ROUNDUP(MONTH(tbl_daily[[#This Row],[Date]])/3,0)</f>
        <v>Q4</v>
      </c>
      <c r="V306" t="str">
        <f>TEXT(tbl_daily[[#This Row],[Date]],"dddd")</f>
        <v>Monday</v>
      </c>
      <c r="W306" t="str">
        <f t="shared" si="12"/>
        <v>Loss</v>
      </c>
      <c r="X306">
        <f t="shared" si="13"/>
        <v>6.9190361057382201</v>
      </c>
      <c r="Y306">
        <f t="shared" si="14"/>
        <v>-13.874000644745339</v>
      </c>
    </row>
    <row r="307" spans="1:25">
      <c r="A307" s="3">
        <v>45216</v>
      </c>
      <c r="B307" s="1">
        <v>6178.125</v>
      </c>
      <c r="C307" s="1">
        <v>7580</v>
      </c>
      <c r="D307" s="1">
        <v>1401.875</v>
      </c>
      <c r="E307" s="1">
        <v>3018.1250000000005</v>
      </c>
      <c r="F307" s="1">
        <v>5100</v>
      </c>
      <c r="G307" s="1">
        <v>2081.8749999999995</v>
      </c>
      <c r="H307" s="1">
        <v>334.76999999999987</v>
      </c>
      <c r="I307" s="1">
        <v>960</v>
      </c>
      <c r="J307" s="1">
        <v>625.23000000000013</v>
      </c>
      <c r="K307" s="1">
        <v>1100.8333333333333</v>
      </c>
      <c r="L307" s="1">
        <v>1440</v>
      </c>
      <c r="M307" s="1">
        <v>339.16666666666674</v>
      </c>
      <c r="N307" s="1">
        <v>2150</v>
      </c>
      <c r="O307" s="1">
        <v>15080</v>
      </c>
      <c r="P307" s="1">
        <v>4448.1466666666665</v>
      </c>
      <c r="Q307" s="1">
        <v>2298.1466666666665</v>
      </c>
      <c r="R307">
        <f>YEAR(tbl_daily[[#This Row],[Date]])</f>
        <v>2023</v>
      </c>
      <c r="S307" t="str">
        <f>TEXT(tbl_daily[[#This Row],[Date]],"mmmm")</f>
        <v>October</v>
      </c>
      <c r="T307">
        <f>MONTH(tbl_daily[[#This Row],[Date]])</f>
        <v>10</v>
      </c>
      <c r="U307" t="str">
        <f>"Q"&amp;ROUNDUP(MONTH(tbl_daily[[#This Row],[Date]])/3,0)</f>
        <v>Q4</v>
      </c>
      <c r="V307" t="str">
        <f>TEXT(tbl_daily[[#This Row],[Date]],"dddd")</f>
        <v>Tuesday</v>
      </c>
      <c r="W307" t="str">
        <f t="shared" si="12"/>
        <v>Profitable</v>
      </c>
      <c r="X307">
        <f t="shared" si="13"/>
        <v>29.496993810786915</v>
      </c>
      <c r="Y307">
        <f t="shared" si="14"/>
        <v>15.239699381078692</v>
      </c>
    </row>
    <row r="308" spans="1:25">
      <c r="A308" s="3">
        <v>45217</v>
      </c>
      <c r="B308" s="1">
        <v>6687.8099999999995</v>
      </c>
      <c r="C308" s="1">
        <v>8350</v>
      </c>
      <c r="D308" s="1">
        <v>1662.1900000000005</v>
      </c>
      <c r="E308" s="1">
        <v>2608.5</v>
      </c>
      <c r="F308" s="1">
        <v>3650</v>
      </c>
      <c r="G308" s="1">
        <v>1041.5</v>
      </c>
      <c r="H308" s="1">
        <v>1021.76</v>
      </c>
      <c r="I308" s="1">
        <v>1080</v>
      </c>
      <c r="J308" s="1">
        <v>58.240000000000009</v>
      </c>
      <c r="K308" s="1">
        <v>1325</v>
      </c>
      <c r="L308" s="1">
        <v>1690</v>
      </c>
      <c r="M308" s="1">
        <v>365</v>
      </c>
      <c r="N308" s="1">
        <v>2150</v>
      </c>
      <c r="O308" s="1">
        <v>14770</v>
      </c>
      <c r="P308" s="1">
        <v>3126.9300000000003</v>
      </c>
      <c r="Q308" s="1">
        <v>976.93000000000029</v>
      </c>
      <c r="R308">
        <f>YEAR(tbl_daily[[#This Row],[Date]])</f>
        <v>2023</v>
      </c>
      <c r="S308" t="str">
        <f>TEXT(tbl_daily[[#This Row],[Date]],"mmmm")</f>
        <v>October</v>
      </c>
      <c r="T308">
        <f>MONTH(tbl_daily[[#This Row],[Date]])</f>
        <v>10</v>
      </c>
      <c r="U308" t="str">
        <f>"Q"&amp;ROUNDUP(MONTH(tbl_daily[[#This Row],[Date]])/3,0)</f>
        <v>Q4</v>
      </c>
      <c r="V308" t="str">
        <f>TEXT(tbl_daily[[#This Row],[Date]],"dddd")</f>
        <v>Wednesday</v>
      </c>
      <c r="W308" t="str">
        <f t="shared" si="12"/>
        <v>Profitable</v>
      </c>
      <c r="X308">
        <f t="shared" si="13"/>
        <v>21.170819228165204</v>
      </c>
      <c r="Y308">
        <f t="shared" si="14"/>
        <v>6.6142857142857157</v>
      </c>
    </row>
    <row r="309" spans="1:25">
      <c r="A309" s="3">
        <v>45218</v>
      </c>
      <c r="B309" s="1">
        <v>5628.0750000000007</v>
      </c>
      <c r="C309" s="1">
        <v>6350</v>
      </c>
      <c r="D309" s="1">
        <v>721.92499999999916</v>
      </c>
      <c r="E309" s="1">
        <v>3778.95</v>
      </c>
      <c r="F309" s="1">
        <v>6210</v>
      </c>
      <c r="G309" s="1">
        <v>2431.0499999999997</v>
      </c>
      <c r="H309" s="1">
        <v>1467.7999999999995</v>
      </c>
      <c r="I309" s="1">
        <v>4500</v>
      </c>
      <c r="J309" s="1">
        <v>3032.2000000000007</v>
      </c>
      <c r="K309" s="1">
        <v>1731.6666666666663</v>
      </c>
      <c r="L309" s="1">
        <v>2230</v>
      </c>
      <c r="M309" s="1">
        <v>498.33333333333343</v>
      </c>
      <c r="N309" s="1">
        <v>2150</v>
      </c>
      <c r="O309" s="1">
        <v>19290</v>
      </c>
      <c r="P309" s="1">
        <v>6683.5083333333332</v>
      </c>
      <c r="Q309" s="1">
        <v>4533.5083333333332</v>
      </c>
      <c r="R309">
        <f>YEAR(tbl_daily[[#This Row],[Date]])</f>
        <v>2023</v>
      </c>
      <c r="S309" t="str">
        <f>TEXT(tbl_daily[[#This Row],[Date]],"mmmm")</f>
        <v>October</v>
      </c>
      <c r="T309">
        <f>MONTH(tbl_daily[[#This Row],[Date]])</f>
        <v>10</v>
      </c>
      <c r="U309" t="str">
        <f>"Q"&amp;ROUNDUP(MONTH(tbl_daily[[#This Row],[Date]])/3,0)</f>
        <v>Q4</v>
      </c>
      <c r="V309" t="str">
        <f>TEXT(tbl_daily[[#This Row],[Date]],"dddd")</f>
        <v>Thursday</v>
      </c>
      <c r="W309" t="str">
        <f t="shared" si="12"/>
        <v>Profitable</v>
      </c>
      <c r="X309">
        <f t="shared" si="13"/>
        <v>34.64752894418524</v>
      </c>
      <c r="Y309">
        <f t="shared" si="14"/>
        <v>23.501857611888717</v>
      </c>
    </row>
    <row r="310" spans="1:25">
      <c r="A310" s="3">
        <v>45219</v>
      </c>
      <c r="B310" s="1">
        <v>6255.125</v>
      </c>
      <c r="C310" s="1">
        <v>7120</v>
      </c>
      <c r="D310" s="1">
        <v>864.875</v>
      </c>
      <c r="E310" s="1">
        <v>3876.0900000000006</v>
      </c>
      <c r="F310" s="1">
        <v>6350</v>
      </c>
      <c r="G310" s="1">
        <v>2473.9099999999994</v>
      </c>
      <c r="H310" s="1">
        <v>796.96</v>
      </c>
      <c r="I310" s="1">
        <v>2080</v>
      </c>
      <c r="J310" s="1">
        <v>1283.04</v>
      </c>
      <c r="K310" s="1">
        <v>1847.5</v>
      </c>
      <c r="L310" s="1">
        <v>2330</v>
      </c>
      <c r="M310" s="1">
        <v>482.5</v>
      </c>
      <c r="N310" s="1">
        <v>2150</v>
      </c>
      <c r="O310" s="1">
        <v>17880</v>
      </c>
      <c r="P310" s="1">
        <v>5104.3249999999989</v>
      </c>
      <c r="Q310" s="1">
        <v>2954.3249999999989</v>
      </c>
      <c r="R310">
        <f>YEAR(tbl_daily[[#This Row],[Date]])</f>
        <v>2023</v>
      </c>
      <c r="S310" t="str">
        <f>TEXT(tbl_daily[[#This Row],[Date]],"mmmm")</f>
        <v>October</v>
      </c>
      <c r="T310">
        <f>MONTH(tbl_daily[[#This Row],[Date]])</f>
        <v>10</v>
      </c>
      <c r="U310" t="str">
        <f>"Q"&amp;ROUNDUP(MONTH(tbl_daily[[#This Row],[Date]])/3,0)</f>
        <v>Q4</v>
      </c>
      <c r="V310" t="str">
        <f>TEXT(tbl_daily[[#This Row],[Date]],"dddd")</f>
        <v>Friday</v>
      </c>
      <c r="W310" t="str">
        <f t="shared" si="12"/>
        <v>Profitable</v>
      </c>
      <c r="X310">
        <f t="shared" si="13"/>
        <v>28.547678970917218</v>
      </c>
      <c r="Y310">
        <f t="shared" si="14"/>
        <v>16.52307046979865</v>
      </c>
    </row>
    <row r="311" spans="1:25">
      <c r="A311" s="3">
        <v>45220</v>
      </c>
      <c r="B311" s="1">
        <v>6987.454999999999</v>
      </c>
      <c r="C311" s="1">
        <v>7990</v>
      </c>
      <c r="D311" s="1">
        <v>1002.545000000001</v>
      </c>
      <c r="E311" s="1">
        <v>1732.1999999999998</v>
      </c>
      <c r="F311" s="1">
        <v>3770</v>
      </c>
      <c r="G311" s="1">
        <v>2037.8</v>
      </c>
      <c r="H311" s="1">
        <v>1238.17</v>
      </c>
      <c r="I311" s="1">
        <v>3280</v>
      </c>
      <c r="J311" s="1">
        <v>2041.83</v>
      </c>
      <c r="K311" s="1">
        <v>1964.1666666666663</v>
      </c>
      <c r="L311" s="1">
        <v>2510</v>
      </c>
      <c r="M311" s="1">
        <v>545.83333333333348</v>
      </c>
      <c r="N311" s="1">
        <v>2150</v>
      </c>
      <c r="O311" s="1">
        <v>17550</v>
      </c>
      <c r="P311" s="1">
        <v>5628.008333333335</v>
      </c>
      <c r="Q311" s="1">
        <v>3478.008333333335</v>
      </c>
      <c r="R311">
        <f>YEAR(tbl_daily[[#This Row],[Date]])</f>
        <v>2023</v>
      </c>
      <c r="S311" t="str">
        <f>TEXT(tbl_daily[[#This Row],[Date]],"mmmm")</f>
        <v>October</v>
      </c>
      <c r="T311">
        <f>MONTH(tbl_daily[[#This Row],[Date]])</f>
        <v>10</v>
      </c>
      <c r="U311" t="str">
        <f>"Q"&amp;ROUNDUP(MONTH(tbl_daily[[#This Row],[Date]])/3,0)</f>
        <v>Q4</v>
      </c>
      <c r="V311" t="str">
        <f>TEXT(tbl_daily[[#This Row],[Date]],"dddd")</f>
        <v>Saturday</v>
      </c>
      <c r="W311" t="str">
        <f t="shared" si="12"/>
        <v>Profitable</v>
      </c>
      <c r="X311">
        <f t="shared" si="13"/>
        <v>32.068423551756894</v>
      </c>
      <c r="Y311">
        <f t="shared" si="14"/>
        <v>19.817711301044643</v>
      </c>
    </row>
    <row r="312" spans="1:25">
      <c r="A312" s="3">
        <v>45221</v>
      </c>
      <c r="B312" s="1">
        <v>6475.0549999999994</v>
      </c>
      <c r="C312" s="1">
        <v>7820</v>
      </c>
      <c r="D312" s="1">
        <v>1344.9450000000006</v>
      </c>
      <c r="E312" s="1">
        <v>2068.0499999999997</v>
      </c>
      <c r="F312" s="1">
        <v>3350</v>
      </c>
      <c r="G312" s="1">
        <v>1281.9500000000005</v>
      </c>
      <c r="H312" s="1">
        <v>703.11000000000035</v>
      </c>
      <c r="I312" s="1">
        <v>1000</v>
      </c>
      <c r="J312" s="1">
        <v>296.88999999999965</v>
      </c>
      <c r="K312" s="1">
        <v>1150.8333333333337</v>
      </c>
      <c r="L312" s="1">
        <v>1480</v>
      </c>
      <c r="M312" s="1">
        <v>329.16666666666652</v>
      </c>
      <c r="N312" s="1">
        <v>2150</v>
      </c>
      <c r="O312" s="1">
        <v>13650</v>
      </c>
      <c r="P312" s="1">
        <v>3252.9516666666668</v>
      </c>
      <c r="Q312" s="1">
        <v>1102.9516666666668</v>
      </c>
      <c r="R312">
        <f>YEAR(tbl_daily[[#This Row],[Date]])</f>
        <v>2023</v>
      </c>
      <c r="S312" t="str">
        <f>TEXT(tbl_daily[[#This Row],[Date]],"mmmm")</f>
        <v>October</v>
      </c>
      <c r="T312">
        <f>MONTH(tbl_daily[[#This Row],[Date]])</f>
        <v>10</v>
      </c>
      <c r="U312" t="str">
        <f>"Q"&amp;ROUNDUP(MONTH(tbl_daily[[#This Row],[Date]])/3,0)</f>
        <v>Q4</v>
      </c>
      <c r="V312" t="str">
        <f>TEXT(tbl_daily[[#This Row],[Date]],"dddd")</f>
        <v>Sunday</v>
      </c>
      <c r="W312" t="str">
        <f t="shared" si="12"/>
        <v>Profitable</v>
      </c>
      <c r="X312">
        <f t="shared" si="13"/>
        <v>23.831147741147742</v>
      </c>
      <c r="Y312">
        <f t="shared" si="14"/>
        <v>8.0802319902319919</v>
      </c>
    </row>
    <row r="313" spans="1:25">
      <c r="A313" s="3">
        <v>45222</v>
      </c>
      <c r="B313" s="1">
        <v>6115.0200000000013</v>
      </c>
      <c r="C313" s="1">
        <v>5490</v>
      </c>
      <c r="D313" s="1">
        <v>-625.02000000000135</v>
      </c>
      <c r="E313" s="1">
        <v>4603.95</v>
      </c>
      <c r="F313" s="1">
        <v>7800</v>
      </c>
      <c r="G313" s="1">
        <v>3196.05</v>
      </c>
      <c r="H313" s="1">
        <v>639.82000000000005</v>
      </c>
      <c r="I313" s="1">
        <v>900</v>
      </c>
      <c r="J313" s="1">
        <v>260.17999999999995</v>
      </c>
      <c r="K313" s="1">
        <v>1495</v>
      </c>
      <c r="L313" s="1">
        <v>1880</v>
      </c>
      <c r="M313" s="1">
        <v>385</v>
      </c>
      <c r="N313" s="1">
        <v>2150</v>
      </c>
      <c r="O313" s="1">
        <v>16070</v>
      </c>
      <c r="P313" s="1">
        <v>3216.2099999999987</v>
      </c>
      <c r="Q313" s="1">
        <v>1066.2099999999989</v>
      </c>
      <c r="R313">
        <f>YEAR(tbl_daily[[#This Row],[Date]])</f>
        <v>2023</v>
      </c>
      <c r="S313" t="str">
        <f>TEXT(tbl_daily[[#This Row],[Date]],"mmmm")</f>
        <v>October</v>
      </c>
      <c r="T313">
        <f>MONTH(tbl_daily[[#This Row],[Date]])</f>
        <v>10</v>
      </c>
      <c r="U313" t="str">
        <f>"Q"&amp;ROUNDUP(MONTH(tbl_daily[[#This Row],[Date]])/3,0)</f>
        <v>Q4</v>
      </c>
      <c r="V313" t="str">
        <f>TEXT(tbl_daily[[#This Row],[Date]],"dddd")</f>
        <v>Monday</v>
      </c>
      <c r="W313" t="str">
        <f t="shared" si="12"/>
        <v>Profitable</v>
      </c>
      <c r="X313">
        <f t="shared" si="13"/>
        <v>20.013752333540751</v>
      </c>
      <c r="Y313">
        <f t="shared" si="14"/>
        <v>6.6347853142501485</v>
      </c>
    </row>
    <row r="314" spans="1:25">
      <c r="A314" s="3">
        <v>45223</v>
      </c>
      <c r="B314" s="1">
        <v>6347.3249999999989</v>
      </c>
      <c r="C314" s="1">
        <v>6370</v>
      </c>
      <c r="D314" s="1">
        <v>22.675000000001091</v>
      </c>
      <c r="E314" s="1">
        <v>1735.25</v>
      </c>
      <c r="F314" s="1">
        <v>1100</v>
      </c>
      <c r="G314" s="1">
        <v>-635.25</v>
      </c>
      <c r="H314" s="1">
        <v>384.8499999999998</v>
      </c>
      <c r="I314" s="1">
        <v>1200</v>
      </c>
      <c r="J314" s="1">
        <v>815.1500000000002</v>
      </c>
      <c r="K314" s="1">
        <v>1601.6666666666663</v>
      </c>
      <c r="L314" s="1">
        <v>1990</v>
      </c>
      <c r="M314" s="1">
        <v>388.33333333333343</v>
      </c>
      <c r="N314" s="1">
        <v>2150</v>
      </c>
      <c r="O314" s="1">
        <v>10660</v>
      </c>
      <c r="P314" s="1">
        <v>590.90833333333478</v>
      </c>
      <c r="Q314" s="1">
        <v>-1559.0916666666651</v>
      </c>
      <c r="R314">
        <f>YEAR(tbl_daily[[#This Row],[Date]])</f>
        <v>2023</v>
      </c>
      <c r="S314" t="str">
        <f>TEXT(tbl_daily[[#This Row],[Date]],"mmmm")</f>
        <v>October</v>
      </c>
      <c r="T314">
        <f>MONTH(tbl_daily[[#This Row],[Date]])</f>
        <v>10</v>
      </c>
      <c r="U314" t="str">
        <f>"Q"&amp;ROUNDUP(MONTH(tbl_daily[[#This Row],[Date]])/3,0)</f>
        <v>Q4</v>
      </c>
      <c r="V314" t="str">
        <f>TEXT(tbl_daily[[#This Row],[Date]],"dddd")</f>
        <v>Tuesday</v>
      </c>
      <c r="W314" t="str">
        <f t="shared" si="12"/>
        <v>Loss</v>
      </c>
      <c r="X314">
        <f t="shared" si="13"/>
        <v>5.5432301438399136</v>
      </c>
      <c r="Y314">
        <f t="shared" si="14"/>
        <v>-14.625625390869279</v>
      </c>
    </row>
    <row r="315" spans="1:25">
      <c r="A315" s="3">
        <v>45224</v>
      </c>
      <c r="B315" s="1">
        <v>6923.9950000000008</v>
      </c>
      <c r="C315" s="1">
        <v>7230</v>
      </c>
      <c r="D315" s="1">
        <v>306.0049999999992</v>
      </c>
      <c r="E315" s="1">
        <v>1969.5500000000004</v>
      </c>
      <c r="F315" s="1">
        <v>3550</v>
      </c>
      <c r="G315" s="1">
        <v>1580.4499999999996</v>
      </c>
      <c r="H315" s="1">
        <v>1291.92</v>
      </c>
      <c r="I315" s="1">
        <v>2760</v>
      </c>
      <c r="J315" s="1">
        <v>1468.08</v>
      </c>
      <c r="K315" s="1">
        <v>1467.5</v>
      </c>
      <c r="L315" s="1">
        <v>1890</v>
      </c>
      <c r="M315" s="1">
        <v>422.5</v>
      </c>
      <c r="N315" s="1">
        <v>2150</v>
      </c>
      <c r="O315" s="1">
        <v>15430</v>
      </c>
      <c r="P315" s="1">
        <v>3777.0349999999994</v>
      </c>
      <c r="Q315" s="1">
        <v>1627.0349999999987</v>
      </c>
      <c r="R315">
        <f>YEAR(tbl_daily[[#This Row],[Date]])</f>
        <v>2023</v>
      </c>
      <c r="S315" t="str">
        <f>TEXT(tbl_daily[[#This Row],[Date]],"mmmm")</f>
        <v>October</v>
      </c>
      <c r="T315">
        <f>MONTH(tbl_daily[[#This Row],[Date]])</f>
        <v>10</v>
      </c>
      <c r="U315" t="str">
        <f>"Q"&amp;ROUNDUP(MONTH(tbl_daily[[#This Row],[Date]])/3,0)</f>
        <v>Q4</v>
      </c>
      <c r="V315" t="str">
        <f>TEXT(tbl_daily[[#This Row],[Date]],"dddd")</f>
        <v>Wednesday</v>
      </c>
      <c r="W315" t="str">
        <f t="shared" si="12"/>
        <v>Profitable</v>
      </c>
      <c r="X315">
        <f t="shared" si="13"/>
        <v>24.478515878159428</v>
      </c>
      <c r="Y315">
        <f t="shared" si="14"/>
        <v>10.5446208684381</v>
      </c>
    </row>
    <row r="316" spans="1:25">
      <c r="A316" s="3">
        <v>45225</v>
      </c>
      <c r="B316" s="1">
        <v>5461.7900000000018</v>
      </c>
      <c r="C316" s="1">
        <v>4870</v>
      </c>
      <c r="D316" s="1">
        <v>-591.79000000000178</v>
      </c>
      <c r="E316" s="1">
        <v>1938.8000000000004</v>
      </c>
      <c r="F316" s="1">
        <v>2870</v>
      </c>
      <c r="G316" s="1">
        <v>931.19999999999948</v>
      </c>
      <c r="H316" s="1">
        <v>921.08</v>
      </c>
      <c r="I316" s="1">
        <v>1440</v>
      </c>
      <c r="J316" s="1">
        <v>518.91999999999996</v>
      </c>
      <c r="K316" s="1">
        <v>1085</v>
      </c>
      <c r="L316" s="1">
        <v>1400</v>
      </c>
      <c r="M316" s="1">
        <v>315</v>
      </c>
      <c r="N316" s="1">
        <v>2150</v>
      </c>
      <c r="O316" s="1">
        <v>10580</v>
      </c>
      <c r="P316" s="1">
        <v>1173.3299999999977</v>
      </c>
      <c r="Q316" s="1">
        <v>-976.67000000000235</v>
      </c>
      <c r="R316">
        <f>YEAR(tbl_daily[[#This Row],[Date]])</f>
        <v>2023</v>
      </c>
      <c r="S316" t="str">
        <f>TEXT(tbl_daily[[#This Row],[Date]],"mmmm")</f>
        <v>October</v>
      </c>
      <c r="T316">
        <f>MONTH(tbl_daily[[#This Row],[Date]])</f>
        <v>10</v>
      </c>
      <c r="U316" t="str">
        <f>"Q"&amp;ROUNDUP(MONTH(tbl_daily[[#This Row],[Date]])/3,0)</f>
        <v>Q4</v>
      </c>
      <c r="V316" t="str">
        <f>TEXT(tbl_daily[[#This Row],[Date]],"dddd")</f>
        <v>Thursday</v>
      </c>
      <c r="W316" t="str">
        <f t="shared" si="12"/>
        <v>Loss</v>
      </c>
      <c r="X316">
        <f t="shared" si="13"/>
        <v>11.090075614366707</v>
      </c>
      <c r="Y316">
        <f t="shared" si="14"/>
        <v>-9.2312854442344268</v>
      </c>
    </row>
    <row r="317" spans="1:25">
      <c r="A317" s="3">
        <v>45226</v>
      </c>
      <c r="B317" s="1">
        <v>5725.24</v>
      </c>
      <c r="C317" s="1">
        <v>6650</v>
      </c>
      <c r="D317" s="1">
        <v>924.7600000000001</v>
      </c>
      <c r="E317" s="1">
        <v>2882.9749999999999</v>
      </c>
      <c r="F317" s="1">
        <v>4320</v>
      </c>
      <c r="G317" s="1">
        <v>1437.0250000000001</v>
      </c>
      <c r="H317" s="1">
        <v>1174.75</v>
      </c>
      <c r="I317" s="1">
        <v>2300</v>
      </c>
      <c r="J317" s="1">
        <v>1125.25</v>
      </c>
      <c r="K317" s="1">
        <v>1302.5</v>
      </c>
      <c r="L317" s="1">
        <v>1710</v>
      </c>
      <c r="M317" s="1">
        <v>407.5</v>
      </c>
      <c r="N317" s="1">
        <v>2150</v>
      </c>
      <c r="O317" s="1">
        <v>14980</v>
      </c>
      <c r="P317" s="1">
        <v>3894.5349999999999</v>
      </c>
      <c r="Q317" s="1">
        <v>1744.5350000000003</v>
      </c>
      <c r="R317">
        <f>YEAR(tbl_daily[[#This Row],[Date]])</f>
        <v>2023</v>
      </c>
      <c r="S317" t="str">
        <f>TEXT(tbl_daily[[#This Row],[Date]],"mmmm")</f>
        <v>October</v>
      </c>
      <c r="T317">
        <f>MONTH(tbl_daily[[#This Row],[Date]])</f>
        <v>10</v>
      </c>
      <c r="U317" t="str">
        <f>"Q"&amp;ROUNDUP(MONTH(tbl_daily[[#This Row],[Date]])/3,0)</f>
        <v>Q4</v>
      </c>
      <c r="V317" t="str">
        <f>TEXT(tbl_daily[[#This Row],[Date]],"dddd")</f>
        <v>Friday</v>
      </c>
      <c r="W317" t="str">
        <f t="shared" si="12"/>
        <v>Profitable</v>
      </c>
      <c r="X317">
        <f t="shared" si="13"/>
        <v>25.99823097463284</v>
      </c>
      <c r="Y317">
        <f t="shared" si="14"/>
        <v>11.645761014686249</v>
      </c>
    </row>
    <row r="318" spans="1:25">
      <c r="A318" s="3">
        <v>45227</v>
      </c>
      <c r="B318" s="1">
        <v>8128.7999999999984</v>
      </c>
      <c r="C318" s="1">
        <v>5000</v>
      </c>
      <c r="D318" s="1">
        <v>-3128.7999999999984</v>
      </c>
      <c r="E318" s="1">
        <v>5528.7</v>
      </c>
      <c r="F318" s="1">
        <v>10020</v>
      </c>
      <c r="G318" s="1">
        <v>4491.3</v>
      </c>
      <c r="H318" s="1">
        <v>1808.74</v>
      </c>
      <c r="I318" s="1">
        <v>3920</v>
      </c>
      <c r="J318" s="1">
        <v>2111.2600000000002</v>
      </c>
      <c r="K318" s="1">
        <v>2383.3333333333335</v>
      </c>
      <c r="L318" s="1">
        <v>2950</v>
      </c>
      <c r="M318" s="1">
        <v>566.66666666666652</v>
      </c>
      <c r="N318" s="1">
        <v>2150</v>
      </c>
      <c r="O318" s="1">
        <v>21890</v>
      </c>
      <c r="P318" s="1">
        <v>4040.426666666669</v>
      </c>
      <c r="Q318" s="1">
        <v>1890.4266666666688</v>
      </c>
      <c r="R318">
        <f>YEAR(tbl_daily[[#This Row],[Date]])</f>
        <v>2023</v>
      </c>
      <c r="S318" t="str">
        <f>TEXT(tbl_daily[[#This Row],[Date]],"mmmm")</f>
        <v>October</v>
      </c>
      <c r="T318">
        <f>MONTH(tbl_daily[[#This Row],[Date]])</f>
        <v>10</v>
      </c>
      <c r="U318" t="str">
        <f>"Q"&amp;ROUNDUP(MONTH(tbl_daily[[#This Row],[Date]])/3,0)</f>
        <v>Q4</v>
      </c>
      <c r="V318" t="str">
        <f>TEXT(tbl_daily[[#This Row],[Date]],"dddd")</f>
        <v>Saturday</v>
      </c>
      <c r="W318" t="str">
        <f t="shared" si="12"/>
        <v>Profitable</v>
      </c>
      <c r="X318">
        <f t="shared" si="13"/>
        <v>18.457865082990722</v>
      </c>
      <c r="Y318">
        <f t="shared" si="14"/>
        <v>8.636028627988436</v>
      </c>
    </row>
    <row r="319" spans="1:25">
      <c r="A319" s="3">
        <v>45228</v>
      </c>
      <c r="B319" s="1">
        <v>7452.9449999999997</v>
      </c>
      <c r="C319" s="1">
        <v>7130</v>
      </c>
      <c r="D319" s="1">
        <v>-322.94499999999971</v>
      </c>
      <c r="E319" s="1">
        <v>3044.1999999999994</v>
      </c>
      <c r="F319" s="1">
        <v>4900</v>
      </c>
      <c r="G319" s="1">
        <v>1855.8000000000009</v>
      </c>
      <c r="H319" s="1">
        <v>1370.6299999999999</v>
      </c>
      <c r="I319" s="1">
        <v>3240</v>
      </c>
      <c r="J319" s="1">
        <v>1869.3700000000001</v>
      </c>
      <c r="K319" s="1">
        <v>1313.3333333333337</v>
      </c>
      <c r="L319" s="1">
        <v>1660</v>
      </c>
      <c r="M319" s="1">
        <v>346.66666666666652</v>
      </c>
      <c r="N319" s="1">
        <v>2150</v>
      </c>
      <c r="O319" s="1">
        <v>16930</v>
      </c>
      <c r="P319" s="1">
        <v>3748.8916666666678</v>
      </c>
      <c r="Q319" s="1">
        <v>1598.8916666666678</v>
      </c>
      <c r="R319">
        <f>YEAR(tbl_daily[[#This Row],[Date]])</f>
        <v>2023</v>
      </c>
      <c r="S319" t="str">
        <f>TEXT(tbl_daily[[#This Row],[Date]],"mmmm")</f>
        <v>October</v>
      </c>
      <c r="T319">
        <f>MONTH(tbl_daily[[#This Row],[Date]])</f>
        <v>10</v>
      </c>
      <c r="U319" t="str">
        <f>"Q"&amp;ROUNDUP(MONTH(tbl_daily[[#This Row],[Date]])/3,0)</f>
        <v>Q4</v>
      </c>
      <c r="V319" t="str">
        <f>TEXT(tbl_daily[[#This Row],[Date]],"dddd")</f>
        <v>Sunday</v>
      </c>
      <c r="W319" t="str">
        <f t="shared" si="12"/>
        <v>Profitable</v>
      </c>
      <c r="X319">
        <f t="shared" si="13"/>
        <v>22.14348296908841</v>
      </c>
      <c r="Y319">
        <f t="shared" si="14"/>
        <v>9.4441327032880551</v>
      </c>
    </row>
    <row r="320" spans="1:25">
      <c r="A320" s="3">
        <v>45229</v>
      </c>
      <c r="B320" s="1">
        <v>5182.1499999999996</v>
      </c>
      <c r="C320" s="1">
        <v>7330</v>
      </c>
      <c r="D320" s="1">
        <v>2147.8500000000004</v>
      </c>
      <c r="E320" s="1">
        <v>2578.1000000000008</v>
      </c>
      <c r="F320" s="1">
        <v>4250</v>
      </c>
      <c r="G320" s="1">
        <v>1671.8999999999992</v>
      </c>
      <c r="H320" s="1">
        <v>920.4100000000002</v>
      </c>
      <c r="I320" s="1">
        <v>1280</v>
      </c>
      <c r="J320" s="1">
        <v>359.5899999999998</v>
      </c>
      <c r="K320" s="1">
        <v>458.33333333333337</v>
      </c>
      <c r="L320" s="1">
        <v>580</v>
      </c>
      <c r="M320" s="1">
        <v>121.66666666666664</v>
      </c>
      <c r="N320" s="1">
        <v>2150</v>
      </c>
      <c r="O320" s="1">
        <v>13440</v>
      </c>
      <c r="P320" s="1">
        <v>4301.0066666666662</v>
      </c>
      <c r="Q320" s="1">
        <v>2151.0066666666662</v>
      </c>
      <c r="R320">
        <f>YEAR(tbl_daily[[#This Row],[Date]])</f>
        <v>2023</v>
      </c>
      <c r="S320" t="str">
        <f>TEXT(tbl_daily[[#This Row],[Date]],"mmmm")</f>
        <v>October</v>
      </c>
      <c r="T320">
        <f>MONTH(tbl_daily[[#This Row],[Date]])</f>
        <v>10</v>
      </c>
      <c r="U320" t="str">
        <f>"Q"&amp;ROUNDUP(MONTH(tbl_daily[[#This Row],[Date]])/3,0)</f>
        <v>Q4</v>
      </c>
      <c r="V320" t="str">
        <f>TEXT(tbl_daily[[#This Row],[Date]],"dddd")</f>
        <v>Monday</v>
      </c>
      <c r="W320" t="str">
        <f t="shared" si="12"/>
        <v>Profitable</v>
      </c>
      <c r="X320">
        <f t="shared" si="13"/>
        <v>32.001537698412697</v>
      </c>
      <c r="Y320">
        <f t="shared" si="14"/>
        <v>16.004513888888887</v>
      </c>
    </row>
    <row r="321" spans="1:25">
      <c r="A321" s="3">
        <v>45230</v>
      </c>
      <c r="B321" s="1">
        <v>7154.9800000000014</v>
      </c>
      <c r="C321" s="1">
        <v>8240</v>
      </c>
      <c r="D321" s="1">
        <v>1085.0199999999986</v>
      </c>
      <c r="E321" s="1">
        <v>2601.9499999999994</v>
      </c>
      <c r="F321" s="1">
        <v>3970</v>
      </c>
      <c r="G321" s="1">
        <v>1368.0500000000006</v>
      </c>
      <c r="H321" s="1">
        <v>475.66000000000025</v>
      </c>
      <c r="I321" s="1">
        <v>1280</v>
      </c>
      <c r="J321" s="1">
        <v>804.33999999999969</v>
      </c>
      <c r="K321" s="1">
        <v>1883.3333333333333</v>
      </c>
      <c r="L321" s="1">
        <v>2350</v>
      </c>
      <c r="M321" s="1">
        <v>466.66666666666674</v>
      </c>
      <c r="N321" s="1">
        <v>2150</v>
      </c>
      <c r="O321" s="1">
        <v>15840</v>
      </c>
      <c r="P321" s="1">
        <v>3724.0766666666655</v>
      </c>
      <c r="Q321" s="1">
        <v>1574.0766666666659</v>
      </c>
      <c r="R321">
        <f>YEAR(tbl_daily[[#This Row],[Date]])</f>
        <v>2023</v>
      </c>
      <c r="S321" t="str">
        <f>TEXT(tbl_daily[[#This Row],[Date]],"mmmm")</f>
        <v>October</v>
      </c>
      <c r="T321">
        <f>MONTH(tbl_daily[[#This Row],[Date]])</f>
        <v>10</v>
      </c>
      <c r="U321" t="str">
        <f>"Q"&amp;ROUNDUP(MONTH(tbl_daily[[#This Row],[Date]])/3,0)</f>
        <v>Q4</v>
      </c>
      <c r="V321" t="str">
        <f>TEXT(tbl_daily[[#This Row],[Date]],"dddd")</f>
        <v>Tuesday</v>
      </c>
      <c r="W321" t="str">
        <f t="shared" si="12"/>
        <v>Profitable</v>
      </c>
      <c r="X321">
        <f t="shared" si="13"/>
        <v>23.510585016835009</v>
      </c>
      <c r="Y321">
        <f t="shared" si="14"/>
        <v>9.9373526936026888</v>
      </c>
    </row>
    <row r="322" spans="1:25">
      <c r="A322" s="3">
        <v>45231</v>
      </c>
      <c r="B322" s="1">
        <v>7753.7950000000001</v>
      </c>
      <c r="C322" s="1">
        <v>7790</v>
      </c>
      <c r="D322" s="1">
        <v>36.205000000000837</v>
      </c>
      <c r="E322" s="1">
        <v>2586.8000000000002</v>
      </c>
      <c r="F322" s="1">
        <v>5900</v>
      </c>
      <c r="G322" s="1">
        <v>3313.2</v>
      </c>
      <c r="H322" s="1">
        <v>413.36000000000013</v>
      </c>
      <c r="I322" s="1">
        <v>1000</v>
      </c>
      <c r="J322" s="1">
        <v>586.63999999999987</v>
      </c>
      <c r="K322" s="1">
        <v>2141.666666666667</v>
      </c>
      <c r="L322" s="1">
        <v>2730</v>
      </c>
      <c r="M322" s="1">
        <v>588.33333333333303</v>
      </c>
      <c r="N322" s="1">
        <v>2150</v>
      </c>
      <c r="O322" s="1">
        <v>17420</v>
      </c>
      <c r="P322" s="1">
        <v>4524.378333333334</v>
      </c>
      <c r="Q322" s="1">
        <v>2374.378333333334</v>
      </c>
      <c r="R322">
        <f>YEAR(tbl_daily[[#This Row],[Date]])</f>
        <v>2023</v>
      </c>
      <c r="S322" t="str">
        <f>TEXT(tbl_daily[[#This Row],[Date]],"mmmm")</f>
        <v>November</v>
      </c>
      <c r="T322">
        <f>MONTH(tbl_daily[[#This Row],[Date]])</f>
        <v>11</v>
      </c>
      <c r="U322" t="str">
        <f>"Q"&amp;ROUNDUP(MONTH(tbl_daily[[#This Row],[Date]])/3,0)</f>
        <v>Q4</v>
      </c>
      <c r="V322" t="str">
        <f>TEXT(tbl_daily[[#This Row],[Date]],"dddd")</f>
        <v>Wednesday</v>
      </c>
      <c r="W322" t="str">
        <f t="shared" ref="W322:W382" si="15">IF(Q322&gt;0,"Profitable",IF(Q322&lt;0,"Loss","Break-even"))</f>
        <v>Profitable</v>
      </c>
      <c r="X322">
        <f t="shared" ref="X322:X382" si="16">IFERROR(P322/O322 *100,0)</f>
        <v>25.972321086873329</v>
      </c>
      <c r="Y322">
        <f t="shared" ref="Y322:Y382" si="17">IFERROR(Q322/O322 *100,0)</f>
        <v>13.630185610409495</v>
      </c>
    </row>
    <row r="323" spans="1:25">
      <c r="A323" s="3">
        <v>45232</v>
      </c>
      <c r="B323" s="1">
        <v>8010.1200000000035</v>
      </c>
      <c r="C323" s="1">
        <v>7700</v>
      </c>
      <c r="D323" s="1">
        <v>-310.12000000000262</v>
      </c>
      <c r="E323" s="1">
        <v>2194.1999999999998</v>
      </c>
      <c r="F323" s="1">
        <v>3100</v>
      </c>
      <c r="G323" s="1">
        <v>905.80000000000018</v>
      </c>
      <c r="H323" s="1">
        <v>1739.6399999999999</v>
      </c>
      <c r="I323" s="1">
        <v>4060</v>
      </c>
      <c r="J323" s="1">
        <v>2320.36</v>
      </c>
      <c r="K323" s="1">
        <v>1825</v>
      </c>
      <c r="L323" s="1">
        <v>2300</v>
      </c>
      <c r="M323" s="1">
        <v>475</v>
      </c>
      <c r="N323" s="1">
        <v>2150</v>
      </c>
      <c r="O323" s="1">
        <v>17160</v>
      </c>
      <c r="P323" s="1">
        <v>3391.0399999999977</v>
      </c>
      <c r="Q323" s="1">
        <v>1241.0399999999977</v>
      </c>
      <c r="R323">
        <f>YEAR(tbl_daily[[#This Row],[Date]])</f>
        <v>2023</v>
      </c>
      <c r="S323" t="str">
        <f>TEXT(tbl_daily[[#This Row],[Date]],"mmmm")</f>
        <v>November</v>
      </c>
      <c r="T323">
        <f>MONTH(tbl_daily[[#This Row],[Date]])</f>
        <v>11</v>
      </c>
      <c r="U323" t="str">
        <f>"Q"&amp;ROUNDUP(MONTH(tbl_daily[[#This Row],[Date]])/3,0)</f>
        <v>Q4</v>
      </c>
      <c r="V323" t="str">
        <f>TEXT(tbl_daily[[#This Row],[Date]],"dddd")</f>
        <v>Thursday</v>
      </c>
      <c r="W323" t="str">
        <f t="shared" si="15"/>
        <v>Profitable</v>
      </c>
      <c r="X323">
        <f t="shared" si="16"/>
        <v>19.761305361305347</v>
      </c>
      <c r="Y323">
        <f t="shared" si="17"/>
        <v>7.2321678321678187</v>
      </c>
    </row>
    <row r="324" spans="1:25">
      <c r="A324" s="3">
        <v>45233</v>
      </c>
      <c r="B324" s="1">
        <v>7308.1099999999988</v>
      </c>
      <c r="C324" s="1">
        <v>5835</v>
      </c>
      <c r="D324" s="1">
        <v>-1473.1099999999981</v>
      </c>
      <c r="E324" s="1">
        <v>1859.7999999999995</v>
      </c>
      <c r="F324" s="1">
        <v>3800</v>
      </c>
      <c r="G324" s="1">
        <v>1940.2000000000005</v>
      </c>
      <c r="H324" s="1">
        <v>304.41999999999996</v>
      </c>
      <c r="I324" s="1">
        <v>1000</v>
      </c>
      <c r="J324" s="1">
        <v>695.58</v>
      </c>
      <c r="K324" s="1">
        <v>2275</v>
      </c>
      <c r="L324" s="1">
        <v>2830</v>
      </c>
      <c r="M324" s="1">
        <v>555</v>
      </c>
      <c r="N324" s="1">
        <v>2150</v>
      </c>
      <c r="O324" s="1">
        <v>13465</v>
      </c>
      <c r="P324" s="1">
        <v>1717.6700000000028</v>
      </c>
      <c r="Q324" s="1">
        <v>-432.3299999999972</v>
      </c>
      <c r="R324">
        <f>YEAR(tbl_daily[[#This Row],[Date]])</f>
        <v>2023</v>
      </c>
      <c r="S324" t="str">
        <f>TEXT(tbl_daily[[#This Row],[Date]],"mmmm")</f>
        <v>November</v>
      </c>
      <c r="T324">
        <f>MONTH(tbl_daily[[#This Row],[Date]])</f>
        <v>11</v>
      </c>
      <c r="U324" t="str">
        <f>"Q"&amp;ROUNDUP(MONTH(tbl_daily[[#This Row],[Date]])/3,0)</f>
        <v>Q4</v>
      </c>
      <c r="V324" t="str">
        <f>TEXT(tbl_daily[[#This Row],[Date]],"dddd")</f>
        <v>Friday</v>
      </c>
      <c r="W324" t="str">
        <f t="shared" si="15"/>
        <v>Loss</v>
      </c>
      <c r="X324">
        <f t="shared" si="16"/>
        <v>12.756554028964</v>
      </c>
      <c r="Y324">
        <f t="shared" si="17"/>
        <v>-3.2107686594875395</v>
      </c>
    </row>
    <row r="325" spans="1:25">
      <c r="A325" s="3">
        <v>45234</v>
      </c>
      <c r="B325" s="1">
        <v>5617.3500000000013</v>
      </c>
      <c r="C325" s="1">
        <v>7350</v>
      </c>
      <c r="D325" s="1">
        <v>1732.6499999999987</v>
      </c>
      <c r="E325" s="1">
        <v>3565.7500000000005</v>
      </c>
      <c r="F325" s="1">
        <v>6950</v>
      </c>
      <c r="G325" s="1">
        <v>3384.2499999999995</v>
      </c>
      <c r="H325" s="1">
        <v>373.46000000000009</v>
      </c>
      <c r="I325" s="1">
        <v>480</v>
      </c>
      <c r="J325" s="1">
        <v>106.53999999999991</v>
      </c>
      <c r="K325" s="1">
        <v>566.66666666666663</v>
      </c>
      <c r="L325" s="1">
        <v>850</v>
      </c>
      <c r="M325" s="1">
        <v>283.33333333333337</v>
      </c>
      <c r="N325" s="1">
        <v>2150</v>
      </c>
      <c r="O325" s="1">
        <v>15630</v>
      </c>
      <c r="P325" s="1">
        <v>5506.7733333333308</v>
      </c>
      <c r="Q325" s="1">
        <v>3356.7733333333308</v>
      </c>
      <c r="R325">
        <f>YEAR(tbl_daily[[#This Row],[Date]])</f>
        <v>2023</v>
      </c>
      <c r="S325" t="str">
        <f>TEXT(tbl_daily[[#This Row],[Date]],"mmmm")</f>
        <v>November</v>
      </c>
      <c r="T325">
        <f>MONTH(tbl_daily[[#This Row],[Date]])</f>
        <v>11</v>
      </c>
      <c r="U325" t="str">
        <f>"Q"&amp;ROUNDUP(MONTH(tbl_daily[[#This Row],[Date]])/3,0)</f>
        <v>Q4</v>
      </c>
      <c r="V325" t="str">
        <f>TEXT(tbl_daily[[#This Row],[Date]],"dddd")</f>
        <v>Saturday</v>
      </c>
      <c r="W325" t="str">
        <f t="shared" si="15"/>
        <v>Profitable</v>
      </c>
      <c r="X325">
        <f t="shared" si="16"/>
        <v>35.232075069311136</v>
      </c>
      <c r="Y325">
        <f t="shared" si="17"/>
        <v>21.476476860737883</v>
      </c>
    </row>
    <row r="326" spans="1:25">
      <c r="A326" s="3">
        <v>45235</v>
      </c>
      <c r="B326" s="1">
        <v>8289.4449999999979</v>
      </c>
      <c r="C326" s="1">
        <v>8110</v>
      </c>
      <c r="D326" s="1">
        <v>-179.44499999999789</v>
      </c>
      <c r="E326" s="1">
        <v>2589.6500000000005</v>
      </c>
      <c r="F326" s="1">
        <v>5650</v>
      </c>
      <c r="G326" s="1">
        <v>3060.3499999999995</v>
      </c>
      <c r="H326" s="1">
        <v>1914.02</v>
      </c>
      <c r="I326" s="1">
        <v>4240</v>
      </c>
      <c r="J326" s="1">
        <v>2325.98</v>
      </c>
      <c r="K326" s="1">
        <v>1818.3333333333333</v>
      </c>
      <c r="L326" s="1">
        <v>2280</v>
      </c>
      <c r="M326" s="1">
        <v>461.66666666666674</v>
      </c>
      <c r="N326" s="1">
        <v>2150</v>
      </c>
      <c r="O326" s="1">
        <v>20280</v>
      </c>
      <c r="P326" s="1">
        <v>5668.5516666666681</v>
      </c>
      <c r="Q326" s="1">
        <v>3518.5516666666681</v>
      </c>
      <c r="R326">
        <f>YEAR(tbl_daily[[#This Row],[Date]])</f>
        <v>2023</v>
      </c>
      <c r="S326" t="str">
        <f>TEXT(tbl_daily[[#This Row],[Date]],"mmmm")</f>
        <v>November</v>
      </c>
      <c r="T326">
        <f>MONTH(tbl_daily[[#This Row],[Date]])</f>
        <v>11</v>
      </c>
      <c r="U326" t="str">
        <f>"Q"&amp;ROUNDUP(MONTH(tbl_daily[[#This Row],[Date]])/3,0)</f>
        <v>Q4</v>
      </c>
      <c r="V326" t="str">
        <f>TEXT(tbl_daily[[#This Row],[Date]],"dddd")</f>
        <v>Sunday</v>
      </c>
      <c r="W326" t="str">
        <f t="shared" si="15"/>
        <v>Profitable</v>
      </c>
      <c r="X326">
        <f t="shared" si="16"/>
        <v>27.951438198553589</v>
      </c>
      <c r="Y326">
        <f t="shared" si="17"/>
        <v>17.349860289283374</v>
      </c>
    </row>
    <row r="327" spans="1:25">
      <c r="A327" s="3">
        <v>45236</v>
      </c>
      <c r="B327" s="1">
        <v>7063.2199999999984</v>
      </c>
      <c r="C327" s="1">
        <v>7830</v>
      </c>
      <c r="D327" s="1">
        <v>766.78000000000156</v>
      </c>
      <c r="E327" s="1">
        <v>2956.9</v>
      </c>
      <c r="F327" s="1">
        <v>4170</v>
      </c>
      <c r="G327" s="1">
        <v>1213.0999999999999</v>
      </c>
      <c r="H327" s="1">
        <v>1040.9299999999998</v>
      </c>
      <c r="I327" s="1">
        <v>2640</v>
      </c>
      <c r="J327" s="1">
        <v>1599.0700000000002</v>
      </c>
      <c r="K327" s="1">
        <v>1521.6666666666663</v>
      </c>
      <c r="L327" s="1">
        <v>1920</v>
      </c>
      <c r="M327" s="1">
        <v>398.33333333333343</v>
      </c>
      <c r="N327" s="1">
        <v>2150</v>
      </c>
      <c r="O327" s="1">
        <v>16560</v>
      </c>
      <c r="P327" s="1">
        <v>3977.2833333333351</v>
      </c>
      <c r="Q327" s="1">
        <v>1827.2833333333351</v>
      </c>
      <c r="R327">
        <f>YEAR(tbl_daily[[#This Row],[Date]])</f>
        <v>2023</v>
      </c>
      <c r="S327" t="str">
        <f>TEXT(tbl_daily[[#This Row],[Date]],"mmmm")</f>
        <v>November</v>
      </c>
      <c r="T327">
        <f>MONTH(tbl_daily[[#This Row],[Date]])</f>
        <v>11</v>
      </c>
      <c r="U327" t="str">
        <f>"Q"&amp;ROUNDUP(MONTH(tbl_daily[[#This Row],[Date]])/3,0)</f>
        <v>Q4</v>
      </c>
      <c r="V327" t="str">
        <f>TEXT(tbl_daily[[#This Row],[Date]],"dddd")</f>
        <v>Monday</v>
      </c>
      <c r="W327" t="str">
        <f t="shared" si="15"/>
        <v>Profitable</v>
      </c>
      <c r="X327">
        <f t="shared" si="16"/>
        <v>24.017411433172313</v>
      </c>
      <c r="Y327">
        <f t="shared" si="17"/>
        <v>11.034319645732699</v>
      </c>
    </row>
    <row r="328" spans="1:25">
      <c r="A328" s="3">
        <v>45237</v>
      </c>
      <c r="B328" s="1">
        <v>4173.7400000000034</v>
      </c>
      <c r="C328" s="1">
        <v>7590</v>
      </c>
      <c r="D328" s="1">
        <v>3416.2599999999966</v>
      </c>
      <c r="E328" s="1">
        <v>2391</v>
      </c>
      <c r="F328" s="1">
        <v>3800</v>
      </c>
      <c r="G328" s="1">
        <v>1409</v>
      </c>
      <c r="H328" s="1">
        <v>782.19000000000028</v>
      </c>
      <c r="I328" s="1">
        <v>2280</v>
      </c>
      <c r="J328" s="1">
        <v>1497.8099999999997</v>
      </c>
      <c r="K328" s="1">
        <v>2121.666666666667</v>
      </c>
      <c r="L328" s="1">
        <v>2730</v>
      </c>
      <c r="M328" s="1">
        <v>608.33333333333303</v>
      </c>
      <c r="N328" s="1">
        <v>2150</v>
      </c>
      <c r="O328" s="1">
        <v>16400</v>
      </c>
      <c r="P328" s="1">
        <v>6931.4033333333291</v>
      </c>
      <c r="Q328" s="1">
        <v>4781.4033333333291</v>
      </c>
      <c r="R328">
        <f>YEAR(tbl_daily[[#This Row],[Date]])</f>
        <v>2023</v>
      </c>
      <c r="S328" t="str">
        <f>TEXT(tbl_daily[[#This Row],[Date]],"mmmm")</f>
        <v>November</v>
      </c>
      <c r="T328">
        <f>MONTH(tbl_daily[[#This Row],[Date]])</f>
        <v>11</v>
      </c>
      <c r="U328" t="str">
        <f>"Q"&amp;ROUNDUP(MONTH(tbl_daily[[#This Row],[Date]])/3,0)</f>
        <v>Q4</v>
      </c>
      <c r="V328" t="str">
        <f>TEXT(tbl_daily[[#This Row],[Date]],"dddd")</f>
        <v>Tuesday</v>
      </c>
      <c r="W328" t="str">
        <f t="shared" si="15"/>
        <v>Profitable</v>
      </c>
      <c r="X328">
        <f t="shared" si="16"/>
        <v>42.264654471544688</v>
      </c>
      <c r="Y328">
        <f t="shared" si="17"/>
        <v>29.154898373983713</v>
      </c>
    </row>
    <row r="329" spans="1:25">
      <c r="A329" s="3">
        <v>45238</v>
      </c>
      <c r="B329" s="1">
        <v>6549.79</v>
      </c>
      <c r="C329" s="1">
        <v>3340</v>
      </c>
      <c r="D329" s="1">
        <v>-3209.79</v>
      </c>
      <c r="E329" s="1">
        <v>3266.45</v>
      </c>
      <c r="F329" s="1">
        <v>6750</v>
      </c>
      <c r="G329" s="1">
        <v>3483.55</v>
      </c>
      <c r="H329" s="1">
        <v>963.14999999999986</v>
      </c>
      <c r="I329" s="1">
        <v>1700</v>
      </c>
      <c r="J329" s="1">
        <v>736.85000000000014</v>
      </c>
      <c r="K329" s="1">
        <v>1906.6666666666663</v>
      </c>
      <c r="L329" s="1">
        <v>2450</v>
      </c>
      <c r="M329" s="1">
        <v>543.33333333333348</v>
      </c>
      <c r="N329" s="1">
        <v>2150</v>
      </c>
      <c r="O329" s="1">
        <v>14240</v>
      </c>
      <c r="P329" s="1">
        <v>1553.9433333333338</v>
      </c>
      <c r="Q329" s="1">
        <v>-596.05666666666616</v>
      </c>
      <c r="R329">
        <f>YEAR(tbl_daily[[#This Row],[Date]])</f>
        <v>2023</v>
      </c>
      <c r="S329" t="str">
        <f>TEXT(tbl_daily[[#This Row],[Date]],"mmmm")</f>
        <v>November</v>
      </c>
      <c r="T329">
        <f>MONTH(tbl_daily[[#This Row],[Date]])</f>
        <v>11</v>
      </c>
      <c r="U329" t="str">
        <f>"Q"&amp;ROUNDUP(MONTH(tbl_daily[[#This Row],[Date]])/3,0)</f>
        <v>Q4</v>
      </c>
      <c r="V329" t="str">
        <f>TEXT(tbl_daily[[#This Row],[Date]],"dddd")</f>
        <v>Wednesday</v>
      </c>
      <c r="W329" t="str">
        <f t="shared" si="15"/>
        <v>Loss</v>
      </c>
      <c r="X329">
        <f t="shared" si="16"/>
        <v>10.912523408239704</v>
      </c>
      <c r="Y329">
        <f t="shared" si="17"/>
        <v>-4.1857911985018692</v>
      </c>
    </row>
    <row r="330" spans="1:25">
      <c r="A330" s="3">
        <v>45239</v>
      </c>
      <c r="B330" s="1">
        <v>7046.7849999999999</v>
      </c>
      <c r="C330" s="1">
        <v>5620</v>
      </c>
      <c r="D330" s="1">
        <v>-1426.7850000000001</v>
      </c>
      <c r="E330" s="1">
        <v>3203.3500000000004</v>
      </c>
      <c r="F330" s="1">
        <v>5700</v>
      </c>
      <c r="G330" s="1">
        <v>2496.6499999999996</v>
      </c>
      <c r="H330" s="1">
        <v>1482.7099999999996</v>
      </c>
      <c r="I330" s="1">
        <v>3720</v>
      </c>
      <c r="J330" s="1">
        <v>2237.2900000000004</v>
      </c>
      <c r="K330" s="1">
        <v>1246.6666666666667</v>
      </c>
      <c r="L330" s="1">
        <v>1560</v>
      </c>
      <c r="M330" s="1">
        <v>313.33333333333326</v>
      </c>
      <c r="N330" s="1">
        <v>2150</v>
      </c>
      <c r="O330" s="1">
        <v>16600</v>
      </c>
      <c r="P330" s="1">
        <v>3620.4883333333337</v>
      </c>
      <c r="Q330" s="1">
        <v>1470.4883333333337</v>
      </c>
      <c r="R330">
        <f>YEAR(tbl_daily[[#This Row],[Date]])</f>
        <v>2023</v>
      </c>
      <c r="S330" t="str">
        <f>TEXT(tbl_daily[[#This Row],[Date]],"mmmm")</f>
        <v>November</v>
      </c>
      <c r="T330">
        <f>MONTH(tbl_daily[[#This Row],[Date]])</f>
        <v>11</v>
      </c>
      <c r="U330" t="str">
        <f>"Q"&amp;ROUNDUP(MONTH(tbl_daily[[#This Row],[Date]])/3,0)</f>
        <v>Q4</v>
      </c>
      <c r="V330" t="str">
        <f>TEXT(tbl_daily[[#This Row],[Date]],"dddd")</f>
        <v>Thursday</v>
      </c>
      <c r="W330" t="str">
        <f t="shared" si="15"/>
        <v>Profitable</v>
      </c>
      <c r="X330">
        <f t="shared" si="16"/>
        <v>21.810170682730927</v>
      </c>
      <c r="Y330">
        <f t="shared" si="17"/>
        <v>8.8583634538152634</v>
      </c>
    </row>
    <row r="331" spans="1:25">
      <c r="A331" s="3">
        <v>45240</v>
      </c>
      <c r="B331" s="1">
        <v>5052.1749999999984</v>
      </c>
      <c r="C331" s="1">
        <v>4970</v>
      </c>
      <c r="D331" s="1">
        <v>-82.174999999998363</v>
      </c>
      <c r="E331" s="1">
        <v>1576.4000000000003</v>
      </c>
      <c r="F331" s="1">
        <v>3350</v>
      </c>
      <c r="G331" s="1">
        <v>1773.5999999999997</v>
      </c>
      <c r="H331" s="1">
        <v>584.1400000000001</v>
      </c>
      <c r="I331" s="1">
        <v>780</v>
      </c>
      <c r="J331" s="1">
        <v>195.8599999999999</v>
      </c>
      <c r="K331" s="1">
        <v>1030</v>
      </c>
      <c r="L331" s="1">
        <v>1300</v>
      </c>
      <c r="M331" s="1">
        <v>270</v>
      </c>
      <c r="N331" s="1">
        <v>2150</v>
      </c>
      <c r="O331" s="1">
        <v>10400</v>
      </c>
      <c r="P331" s="1">
        <v>2157.2850000000012</v>
      </c>
      <c r="Q331" s="1">
        <v>7.2850000000012196</v>
      </c>
      <c r="R331">
        <f>YEAR(tbl_daily[[#This Row],[Date]])</f>
        <v>2023</v>
      </c>
      <c r="S331" t="str">
        <f>TEXT(tbl_daily[[#This Row],[Date]],"mmmm")</f>
        <v>November</v>
      </c>
      <c r="T331">
        <f>MONTH(tbl_daily[[#This Row],[Date]])</f>
        <v>11</v>
      </c>
      <c r="U331" t="str">
        <f>"Q"&amp;ROUNDUP(MONTH(tbl_daily[[#This Row],[Date]])/3,0)</f>
        <v>Q4</v>
      </c>
      <c r="V331" t="str">
        <f>TEXT(tbl_daily[[#This Row],[Date]],"dddd")</f>
        <v>Friday</v>
      </c>
      <c r="W331" t="str">
        <f t="shared" si="15"/>
        <v>Profitable</v>
      </c>
      <c r="X331">
        <f t="shared" si="16"/>
        <v>20.743125000000013</v>
      </c>
      <c r="Y331">
        <f t="shared" si="17"/>
        <v>7.0048076923088648E-2</v>
      </c>
    </row>
    <row r="332" spans="1:25">
      <c r="A332" s="3">
        <v>45241</v>
      </c>
      <c r="B332" s="1">
        <v>5100.1099999999979</v>
      </c>
      <c r="C332" s="1">
        <v>3890</v>
      </c>
      <c r="D332" s="1">
        <v>-1210.1099999999981</v>
      </c>
      <c r="E332" s="1">
        <v>2847.6</v>
      </c>
      <c r="F332" s="1">
        <v>2240</v>
      </c>
      <c r="G332" s="1">
        <v>-607.59999999999991</v>
      </c>
      <c r="H332" s="1">
        <v>956.68</v>
      </c>
      <c r="I332" s="1">
        <v>3190</v>
      </c>
      <c r="J332" s="1">
        <v>2233.3200000000002</v>
      </c>
      <c r="K332" s="1">
        <v>1648.3333333333333</v>
      </c>
      <c r="L332" s="1">
        <v>2080</v>
      </c>
      <c r="M332" s="1">
        <v>431.66666666666674</v>
      </c>
      <c r="N332" s="1">
        <v>2150</v>
      </c>
      <c r="O332" s="1">
        <v>11400</v>
      </c>
      <c r="P332" s="1">
        <v>847.27666666666914</v>
      </c>
      <c r="Q332" s="1">
        <v>-1302.7233333333309</v>
      </c>
      <c r="R332">
        <f>YEAR(tbl_daily[[#This Row],[Date]])</f>
        <v>2023</v>
      </c>
      <c r="S332" t="str">
        <f>TEXT(tbl_daily[[#This Row],[Date]],"mmmm")</f>
        <v>November</v>
      </c>
      <c r="T332">
        <f>MONTH(tbl_daily[[#This Row],[Date]])</f>
        <v>11</v>
      </c>
      <c r="U332" t="str">
        <f>"Q"&amp;ROUNDUP(MONTH(tbl_daily[[#This Row],[Date]])/3,0)</f>
        <v>Q4</v>
      </c>
      <c r="V332" t="str">
        <f>TEXT(tbl_daily[[#This Row],[Date]],"dddd")</f>
        <v>Saturday</v>
      </c>
      <c r="W332" t="str">
        <f t="shared" si="15"/>
        <v>Loss</v>
      </c>
      <c r="X332">
        <f t="shared" si="16"/>
        <v>7.4322514619883258</v>
      </c>
      <c r="Y332">
        <f t="shared" si="17"/>
        <v>-11.427397660818691</v>
      </c>
    </row>
    <row r="333" spans="1:25">
      <c r="A333" s="3">
        <v>45242</v>
      </c>
      <c r="B333" s="1">
        <v>6971.4250000000002</v>
      </c>
      <c r="C333" s="1">
        <v>7850</v>
      </c>
      <c r="D333" s="1">
        <v>878.57499999999982</v>
      </c>
      <c r="E333" s="1">
        <v>3919.849999999999</v>
      </c>
      <c r="F333" s="1">
        <v>9300</v>
      </c>
      <c r="G333" s="1">
        <v>5380.1500000000005</v>
      </c>
      <c r="H333" s="1">
        <v>1199.26</v>
      </c>
      <c r="I333" s="1">
        <v>2330</v>
      </c>
      <c r="J333" s="1">
        <v>1130.74</v>
      </c>
      <c r="K333" s="1">
        <v>1491.6666666666663</v>
      </c>
      <c r="L333" s="1">
        <v>1900</v>
      </c>
      <c r="M333" s="1">
        <v>408.33333333333343</v>
      </c>
      <c r="N333" s="1">
        <v>2150</v>
      </c>
      <c r="O333" s="1">
        <v>21380</v>
      </c>
      <c r="P333" s="1">
        <v>7797.7983333333341</v>
      </c>
      <c r="Q333" s="1">
        <v>5647.7983333333341</v>
      </c>
      <c r="R333">
        <f>YEAR(tbl_daily[[#This Row],[Date]])</f>
        <v>2023</v>
      </c>
      <c r="S333" t="str">
        <f>TEXT(tbl_daily[[#This Row],[Date]],"mmmm")</f>
        <v>November</v>
      </c>
      <c r="T333">
        <f>MONTH(tbl_daily[[#This Row],[Date]])</f>
        <v>11</v>
      </c>
      <c r="U333" t="str">
        <f>"Q"&amp;ROUNDUP(MONTH(tbl_daily[[#This Row],[Date]])/3,0)</f>
        <v>Q4</v>
      </c>
      <c r="V333" t="str">
        <f>TEXT(tbl_daily[[#This Row],[Date]],"dddd")</f>
        <v>Sunday</v>
      </c>
      <c r="W333" t="str">
        <f t="shared" si="15"/>
        <v>Profitable</v>
      </c>
      <c r="X333">
        <f t="shared" si="16"/>
        <v>36.472396320548803</v>
      </c>
      <c r="Y333">
        <f t="shared" si="17"/>
        <v>26.416269098846278</v>
      </c>
    </row>
    <row r="334" spans="1:25">
      <c r="A334" s="3">
        <v>45243</v>
      </c>
      <c r="B334" s="1">
        <v>6494.65</v>
      </c>
      <c r="C334" s="1">
        <v>5890</v>
      </c>
      <c r="D334" s="1">
        <v>-604.64999999999964</v>
      </c>
      <c r="E334" s="1">
        <v>1906.65</v>
      </c>
      <c r="F334" s="1">
        <v>2790</v>
      </c>
      <c r="G334" s="1">
        <v>883.3499999999998</v>
      </c>
      <c r="H334" s="1">
        <v>1030.8599999999999</v>
      </c>
      <c r="I334" s="1">
        <v>1230</v>
      </c>
      <c r="J334" s="1">
        <v>199.1400000000001</v>
      </c>
      <c r="K334" s="1">
        <v>1173.3333333333337</v>
      </c>
      <c r="L334" s="1">
        <v>1490</v>
      </c>
      <c r="M334" s="1">
        <v>316.66666666666652</v>
      </c>
      <c r="N334" s="1">
        <v>2150</v>
      </c>
      <c r="O334" s="1">
        <v>11400</v>
      </c>
      <c r="P334" s="1">
        <v>794.50666666666689</v>
      </c>
      <c r="Q334" s="1">
        <v>-1355.4933333333331</v>
      </c>
      <c r="R334">
        <f>YEAR(tbl_daily[[#This Row],[Date]])</f>
        <v>2023</v>
      </c>
      <c r="S334" t="str">
        <f>TEXT(tbl_daily[[#This Row],[Date]],"mmmm")</f>
        <v>November</v>
      </c>
      <c r="T334">
        <f>MONTH(tbl_daily[[#This Row],[Date]])</f>
        <v>11</v>
      </c>
      <c r="U334" t="str">
        <f>"Q"&amp;ROUNDUP(MONTH(tbl_daily[[#This Row],[Date]])/3,0)</f>
        <v>Q4</v>
      </c>
      <c r="V334" t="str">
        <f>TEXT(tbl_daily[[#This Row],[Date]],"dddd")</f>
        <v>Monday</v>
      </c>
      <c r="W334" t="str">
        <f t="shared" si="15"/>
        <v>Loss</v>
      </c>
      <c r="X334">
        <f t="shared" si="16"/>
        <v>6.9693567251462003</v>
      </c>
      <c r="Y334">
        <f t="shared" si="17"/>
        <v>-11.890292397660817</v>
      </c>
    </row>
    <row r="335" spans="1:25">
      <c r="A335" s="3">
        <v>45244</v>
      </c>
      <c r="B335" s="1">
        <v>4304.869999999999</v>
      </c>
      <c r="C335" s="1">
        <v>4210</v>
      </c>
      <c r="D335" s="1">
        <v>-94.869999999998981</v>
      </c>
      <c r="E335" s="1">
        <v>2847.6</v>
      </c>
      <c r="F335" s="1">
        <v>2240</v>
      </c>
      <c r="G335" s="1">
        <v>-607.59999999999991</v>
      </c>
      <c r="H335" s="1">
        <v>956.68</v>
      </c>
      <c r="I335" s="1">
        <v>3190</v>
      </c>
      <c r="J335" s="1">
        <v>2233.3200000000002</v>
      </c>
      <c r="K335" s="1">
        <v>4100</v>
      </c>
      <c r="L335" s="1">
        <v>5170</v>
      </c>
      <c r="M335" s="1">
        <v>1070</v>
      </c>
      <c r="N335" s="1">
        <v>2150</v>
      </c>
      <c r="O335" s="1">
        <v>14810</v>
      </c>
      <c r="P335" s="1">
        <v>2600.8500000000013</v>
      </c>
      <c r="Q335" s="1">
        <v>450.85000000000127</v>
      </c>
      <c r="R335">
        <f>YEAR(tbl_daily[[#This Row],[Date]])</f>
        <v>2023</v>
      </c>
      <c r="S335" t="str">
        <f>TEXT(tbl_daily[[#This Row],[Date]],"mmmm")</f>
        <v>November</v>
      </c>
      <c r="T335">
        <f>MONTH(tbl_daily[[#This Row],[Date]])</f>
        <v>11</v>
      </c>
      <c r="U335" t="str">
        <f>"Q"&amp;ROUNDUP(MONTH(tbl_daily[[#This Row],[Date]])/3,0)</f>
        <v>Q4</v>
      </c>
      <c r="V335" t="str">
        <f>TEXT(tbl_daily[[#This Row],[Date]],"dddd")</f>
        <v>Tuesday</v>
      </c>
      <c r="W335" t="str">
        <f t="shared" si="15"/>
        <v>Profitable</v>
      </c>
      <c r="X335">
        <f t="shared" si="16"/>
        <v>17.561444969615135</v>
      </c>
      <c r="Y335">
        <f t="shared" si="17"/>
        <v>3.0442268737339724</v>
      </c>
    </row>
    <row r="336" spans="1:25">
      <c r="A336" s="3">
        <v>45245</v>
      </c>
      <c r="B336" s="1">
        <v>6709.0700000000024</v>
      </c>
      <c r="C336" s="1">
        <v>4080</v>
      </c>
      <c r="D336" s="1">
        <v>-2629.0700000000024</v>
      </c>
      <c r="E336" s="1">
        <v>2387.6999999999998</v>
      </c>
      <c r="F336" s="1">
        <v>4400</v>
      </c>
      <c r="G336" s="1">
        <v>2012.3</v>
      </c>
      <c r="H336" s="1">
        <v>0</v>
      </c>
      <c r="I336" s="1">
        <v>0</v>
      </c>
      <c r="J336" s="1">
        <v>0</v>
      </c>
      <c r="K336" s="1">
        <v>1510</v>
      </c>
      <c r="L336" s="1">
        <v>1880</v>
      </c>
      <c r="M336" s="1">
        <v>370</v>
      </c>
      <c r="N336" s="1">
        <v>2150</v>
      </c>
      <c r="O336" s="1">
        <v>10360</v>
      </c>
      <c r="P336" s="1">
        <v>-246.77000000000223</v>
      </c>
      <c r="Q336" s="1">
        <v>-2396.7700000000023</v>
      </c>
      <c r="R336">
        <f>YEAR(tbl_daily[[#This Row],[Date]])</f>
        <v>2023</v>
      </c>
      <c r="S336" t="str">
        <f>TEXT(tbl_daily[[#This Row],[Date]],"mmmm")</f>
        <v>November</v>
      </c>
      <c r="T336">
        <f>MONTH(tbl_daily[[#This Row],[Date]])</f>
        <v>11</v>
      </c>
      <c r="U336" t="str">
        <f>"Q"&amp;ROUNDUP(MONTH(tbl_daily[[#This Row],[Date]])/3,0)</f>
        <v>Q4</v>
      </c>
      <c r="V336" t="str">
        <f>TEXT(tbl_daily[[#This Row],[Date]],"dddd")</f>
        <v>Wednesday</v>
      </c>
      <c r="W336" t="str">
        <f t="shared" si="15"/>
        <v>Loss</v>
      </c>
      <c r="X336">
        <f t="shared" si="16"/>
        <v>-2.3819498069498284</v>
      </c>
      <c r="Y336">
        <f t="shared" si="17"/>
        <v>-23.134845559845584</v>
      </c>
    </row>
    <row r="337" spans="1:25">
      <c r="A337" s="3">
        <v>45246</v>
      </c>
      <c r="B337" s="1">
        <v>5052.6849999999977</v>
      </c>
      <c r="C337" s="1">
        <v>5730</v>
      </c>
      <c r="D337" s="1">
        <v>677.31500000000233</v>
      </c>
      <c r="E337" s="1">
        <v>1161.8999999999994</v>
      </c>
      <c r="F337" s="1">
        <v>3050</v>
      </c>
      <c r="G337" s="1">
        <v>1888.1000000000008</v>
      </c>
      <c r="H337" s="1">
        <v>606.60000000000014</v>
      </c>
      <c r="I337" s="1">
        <v>0</v>
      </c>
      <c r="J337" s="1">
        <v>-606.60000000000014</v>
      </c>
      <c r="K337" s="1">
        <v>1223.3333333333337</v>
      </c>
      <c r="L337" s="1">
        <v>1580</v>
      </c>
      <c r="M337" s="1">
        <v>356.66666666666652</v>
      </c>
      <c r="N337" s="1">
        <v>2150</v>
      </c>
      <c r="O337" s="1">
        <v>10360</v>
      </c>
      <c r="P337" s="1">
        <v>2315.4816666666693</v>
      </c>
      <c r="Q337" s="1">
        <v>165.4816666666693</v>
      </c>
      <c r="R337">
        <f>YEAR(tbl_daily[[#This Row],[Date]])</f>
        <v>2023</v>
      </c>
      <c r="S337" t="str">
        <f>TEXT(tbl_daily[[#This Row],[Date]],"mmmm")</f>
        <v>November</v>
      </c>
      <c r="T337">
        <f>MONTH(tbl_daily[[#This Row],[Date]])</f>
        <v>11</v>
      </c>
      <c r="U337" t="str">
        <f>"Q"&amp;ROUNDUP(MONTH(tbl_daily[[#This Row],[Date]])/3,0)</f>
        <v>Q4</v>
      </c>
      <c r="V337" t="str">
        <f>TEXT(tbl_daily[[#This Row],[Date]],"dddd")</f>
        <v>Thursday</v>
      </c>
      <c r="W337" t="str">
        <f t="shared" si="15"/>
        <v>Profitable</v>
      </c>
      <c r="X337">
        <f t="shared" si="16"/>
        <v>22.350209137709161</v>
      </c>
      <c r="Y337">
        <f t="shared" si="17"/>
        <v>1.5973133848134102</v>
      </c>
    </row>
    <row r="338" spans="1:25">
      <c r="A338" s="3">
        <v>45247</v>
      </c>
      <c r="B338" s="1">
        <v>6367.3950000000013</v>
      </c>
      <c r="C338" s="1">
        <v>7240</v>
      </c>
      <c r="D338" s="1">
        <v>872.60499999999877</v>
      </c>
      <c r="E338" s="1">
        <v>1371.2000000000005</v>
      </c>
      <c r="F338" s="1">
        <v>900</v>
      </c>
      <c r="G338" s="1">
        <v>-471.20000000000022</v>
      </c>
      <c r="H338" s="1">
        <v>651.54999999999995</v>
      </c>
      <c r="I338" s="1">
        <v>2350</v>
      </c>
      <c r="J338" s="1">
        <v>1698.45</v>
      </c>
      <c r="K338" s="1">
        <v>1238.3333333333333</v>
      </c>
      <c r="L338" s="1">
        <v>1550</v>
      </c>
      <c r="M338" s="1">
        <v>311.66666666666674</v>
      </c>
      <c r="N338" s="1">
        <v>2150</v>
      </c>
      <c r="O338" s="1">
        <v>12040</v>
      </c>
      <c r="P338" s="1">
        <v>2411.5216666666656</v>
      </c>
      <c r="Q338" s="1">
        <v>261.52166666666562</v>
      </c>
      <c r="R338">
        <f>YEAR(tbl_daily[[#This Row],[Date]])</f>
        <v>2023</v>
      </c>
      <c r="S338" t="str">
        <f>TEXT(tbl_daily[[#This Row],[Date]],"mmmm")</f>
        <v>November</v>
      </c>
      <c r="T338">
        <f>MONTH(tbl_daily[[#This Row],[Date]])</f>
        <v>11</v>
      </c>
      <c r="U338" t="str">
        <f>"Q"&amp;ROUNDUP(MONTH(tbl_daily[[#This Row],[Date]])/3,0)</f>
        <v>Q4</v>
      </c>
      <c r="V338" t="str">
        <f>TEXT(tbl_daily[[#This Row],[Date]],"dddd")</f>
        <v>Friday</v>
      </c>
      <c r="W338" t="str">
        <f t="shared" si="15"/>
        <v>Profitable</v>
      </c>
      <c r="X338">
        <f t="shared" si="16"/>
        <v>20.029249723145064</v>
      </c>
      <c r="Y338">
        <f t="shared" si="17"/>
        <v>2.1721068660022063</v>
      </c>
    </row>
    <row r="339" spans="1:25">
      <c r="A339" s="3">
        <v>45248</v>
      </c>
      <c r="B339" s="1">
        <v>6949.29</v>
      </c>
      <c r="C339" s="1">
        <v>4910</v>
      </c>
      <c r="D339" s="1">
        <v>-2039.29</v>
      </c>
      <c r="E339" s="1">
        <v>1880.2999999999995</v>
      </c>
      <c r="F339" s="1">
        <v>3950</v>
      </c>
      <c r="G339" s="1">
        <v>2069.7000000000003</v>
      </c>
      <c r="H339" s="1">
        <v>984.11999999999989</v>
      </c>
      <c r="I339" s="1">
        <v>3150</v>
      </c>
      <c r="J339" s="1">
        <v>2165.88</v>
      </c>
      <c r="K339" s="1">
        <v>1603.3333333333333</v>
      </c>
      <c r="L339" s="1">
        <v>2080</v>
      </c>
      <c r="M339" s="1">
        <v>476.66666666666674</v>
      </c>
      <c r="N339" s="1">
        <v>2150</v>
      </c>
      <c r="O339" s="1">
        <v>14090</v>
      </c>
      <c r="P339" s="1">
        <v>2672.9566666666669</v>
      </c>
      <c r="Q339" s="1">
        <v>522.95666666666693</v>
      </c>
      <c r="R339">
        <f>YEAR(tbl_daily[[#This Row],[Date]])</f>
        <v>2023</v>
      </c>
      <c r="S339" t="str">
        <f>TEXT(tbl_daily[[#This Row],[Date]],"mmmm")</f>
        <v>November</v>
      </c>
      <c r="T339">
        <f>MONTH(tbl_daily[[#This Row],[Date]])</f>
        <v>11</v>
      </c>
      <c r="U339" t="str">
        <f>"Q"&amp;ROUNDUP(MONTH(tbl_daily[[#This Row],[Date]])/3,0)</f>
        <v>Q4</v>
      </c>
      <c r="V339" t="str">
        <f>TEXT(tbl_daily[[#This Row],[Date]],"dddd")</f>
        <v>Saturday</v>
      </c>
      <c r="W339" t="str">
        <f t="shared" si="15"/>
        <v>Profitable</v>
      </c>
      <c r="X339">
        <f t="shared" si="16"/>
        <v>18.970593801750653</v>
      </c>
      <c r="Y339">
        <f t="shared" si="17"/>
        <v>3.711544830849304</v>
      </c>
    </row>
    <row r="340" spans="1:25">
      <c r="A340" s="3">
        <v>45249</v>
      </c>
      <c r="B340" s="1">
        <v>5353.0649999999978</v>
      </c>
      <c r="C340" s="1">
        <v>5080</v>
      </c>
      <c r="D340" s="1">
        <v>-273.06499999999778</v>
      </c>
      <c r="E340" s="1">
        <v>1434.3000000000002</v>
      </c>
      <c r="F340" s="1">
        <v>2400</v>
      </c>
      <c r="G340" s="1">
        <v>965.69999999999982</v>
      </c>
      <c r="H340" s="1">
        <v>939.78999999999985</v>
      </c>
      <c r="I340" s="1">
        <v>1860</v>
      </c>
      <c r="J340" s="1">
        <v>920.21000000000015</v>
      </c>
      <c r="K340" s="1">
        <v>1105</v>
      </c>
      <c r="L340" s="1">
        <v>1400</v>
      </c>
      <c r="M340" s="1">
        <v>295</v>
      </c>
      <c r="N340" s="1">
        <v>2150</v>
      </c>
      <c r="O340" s="1">
        <v>10740</v>
      </c>
      <c r="P340" s="1">
        <v>1907.8450000000021</v>
      </c>
      <c r="Q340" s="1">
        <v>-242.15499999999793</v>
      </c>
      <c r="R340">
        <f>YEAR(tbl_daily[[#This Row],[Date]])</f>
        <v>2023</v>
      </c>
      <c r="S340" t="str">
        <f>TEXT(tbl_daily[[#This Row],[Date]],"mmmm")</f>
        <v>November</v>
      </c>
      <c r="T340">
        <f>MONTH(tbl_daily[[#This Row],[Date]])</f>
        <v>11</v>
      </c>
      <c r="U340" t="str">
        <f>"Q"&amp;ROUNDUP(MONTH(tbl_daily[[#This Row],[Date]])/3,0)</f>
        <v>Q4</v>
      </c>
      <c r="V340" t="str">
        <f>TEXT(tbl_daily[[#This Row],[Date]],"dddd")</f>
        <v>Sunday</v>
      </c>
      <c r="W340" t="str">
        <f t="shared" si="15"/>
        <v>Loss</v>
      </c>
      <c r="X340">
        <f t="shared" si="16"/>
        <v>17.763919925512123</v>
      </c>
      <c r="Y340">
        <f t="shared" si="17"/>
        <v>-2.254702048417113</v>
      </c>
    </row>
    <row r="341" spans="1:25">
      <c r="A341" s="3">
        <v>45250</v>
      </c>
      <c r="B341" s="1">
        <v>4521.635000000002</v>
      </c>
      <c r="C341" s="1">
        <v>6230</v>
      </c>
      <c r="D341" s="1">
        <v>1708.364999999998</v>
      </c>
      <c r="E341" s="1">
        <v>1070.25</v>
      </c>
      <c r="F341" s="1">
        <v>1900</v>
      </c>
      <c r="G341" s="1">
        <v>829.75</v>
      </c>
      <c r="H341" s="1">
        <v>0</v>
      </c>
      <c r="I341" s="1">
        <v>0</v>
      </c>
      <c r="J341" s="1">
        <v>0</v>
      </c>
      <c r="K341" s="1">
        <v>1023.3333333333334</v>
      </c>
      <c r="L341" s="1">
        <v>1270</v>
      </c>
      <c r="M341" s="1">
        <v>246.66666666666663</v>
      </c>
      <c r="N341" s="1">
        <v>2150</v>
      </c>
      <c r="O341" s="1">
        <v>9400</v>
      </c>
      <c r="P341" s="1">
        <v>2784.7816666666645</v>
      </c>
      <c r="Q341" s="1">
        <v>634.78166666666448</v>
      </c>
      <c r="R341">
        <f>YEAR(tbl_daily[[#This Row],[Date]])</f>
        <v>2023</v>
      </c>
      <c r="S341" t="str">
        <f>TEXT(tbl_daily[[#This Row],[Date]],"mmmm")</f>
        <v>November</v>
      </c>
      <c r="T341">
        <f>MONTH(tbl_daily[[#This Row],[Date]])</f>
        <v>11</v>
      </c>
      <c r="U341" t="str">
        <f>"Q"&amp;ROUNDUP(MONTH(tbl_daily[[#This Row],[Date]])/3,0)</f>
        <v>Q4</v>
      </c>
      <c r="V341" t="str">
        <f>TEXT(tbl_daily[[#This Row],[Date]],"dddd")</f>
        <v>Monday</v>
      </c>
      <c r="W341" t="str">
        <f t="shared" si="15"/>
        <v>Profitable</v>
      </c>
      <c r="X341">
        <f t="shared" si="16"/>
        <v>29.625336879432602</v>
      </c>
      <c r="Y341">
        <f t="shared" si="17"/>
        <v>6.7529964539006864</v>
      </c>
    </row>
    <row r="342" spans="1:25">
      <c r="A342" s="3">
        <v>45251</v>
      </c>
      <c r="B342" s="1">
        <v>4548.58</v>
      </c>
      <c r="C342" s="1">
        <v>2720</v>
      </c>
      <c r="D342" s="1">
        <v>-1828.58</v>
      </c>
      <c r="E342" s="1">
        <v>3945.3</v>
      </c>
      <c r="F342" s="1">
        <v>7200</v>
      </c>
      <c r="G342" s="1">
        <v>3254.7</v>
      </c>
      <c r="H342" s="1">
        <v>361.31000000000023</v>
      </c>
      <c r="I342" s="1">
        <v>980</v>
      </c>
      <c r="J342" s="1">
        <v>618.68999999999983</v>
      </c>
      <c r="K342" s="1">
        <v>936.66666666666674</v>
      </c>
      <c r="L342" s="1">
        <v>1210</v>
      </c>
      <c r="M342" s="1">
        <v>273.33333333333326</v>
      </c>
      <c r="N342" s="1">
        <v>2150</v>
      </c>
      <c r="O342" s="1">
        <v>12110</v>
      </c>
      <c r="P342" s="1">
        <v>2318.143333333333</v>
      </c>
      <c r="Q342" s="1">
        <v>168.14333333333298</v>
      </c>
      <c r="R342">
        <f>YEAR(tbl_daily[[#This Row],[Date]])</f>
        <v>2023</v>
      </c>
      <c r="S342" t="str">
        <f>TEXT(tbl_daily[[#This Row],[Date]],"mmmm")</f>
        <v>November</v>
      </c>
      <c r="T342">
        <f>MONTH(tbl_daily[[#This Row],[Date]])</f>
        <v>11</v>
      </c>
      <c r="U342" t="str">
        <f>"Q"&amp;ROUNDUP(MONTH(tbl_daily[[#This Row],[Date]])/3,0)</f>
        <v>Q4</v>
      </c>
      <c r="V342" t="str">
        <f>TEXT(tbl_daily[[#This Row],[Date]],"dddd")</f>
        <v>Tuesday</v>
      </c>
      <c r="W342" t="str">
        <f t="shared" si="15"/>
        <v>Profitable</v>
      </c>
      <c r="X342">
        <f t="shared" si="16"/>
        <v>19.142389210019264</v>
      </c>
      <c r="Y342">
        <f t="shared" si="17"/>
        <v>1.38846683181943</v>
      </c>
    </row>
    <row r="343" spans="1:25">
      <c r="A343" s="3">
        <v>45252</v>
      </c>
      <c r="B343" s="1">
        <v>5448.9799999999987</v>
      </c>
      <c r="C343" s="1">
        <v>4020</v>
      </c>
      <c r="D343" s="1">
        <v>-1428.9799999999989</v>
      </c>
      <c r="E343" s="1">
        <v>1681.3499999999997</v>
      </c>
      <c r="F343" s="1">
        <v>3350</v>
      </c>
      <c r="G343" s="1">
        <v>1668.6500000000003</v>
      </c>
      <c r="H343" s="1">
        <v>271.3599999999999</v>
      </c>
      <c r="I343" s="1">
        <v>730</v>
      </c>
      <c r="J343" s="1">
        <v>458.6400000000001</v>
      </c>
      <c r="K343" s="1">
        <v>925.00000000000011</v>
      </c>
      <c r="L343" s="1">
        <v>1190</v>
      </c>
      <c r="M343" s="1">
        <v>264.99999999999989</v>
      </c>
      <c r="N343" s="1">
        <v>2150</v>
      </c>
      <c r="O343" s="1">
        <v>9290</v>
      </c>
      <c r="P343" s="1">
        <v>963.31000000000165</v>
      </c>
      <c r="Q343" s="1">
        <v>-1186.6899999999982</v>
      </c>
      <c r="R343">
        <f>YEAR(tbl_daily[[#This Row],[Date]])</f>
        <v>2023</v>
      </c>
      <c r="S343" t="str">
        <f>TEXT(tbl_daily[[#This Row],[Date]],"mmmm")</f>
        <v>November</v>
      </c>
      <c r="T343">
        <f>MONTH(tbl_daily[[#This Row],[Date]])</f>
        <v>11</v>
      </c>
      <c r="U343" t="str">
        <f>"Q"&amp;ROUNDUP(MONTH(tbl_daily[[#This Row],[Date]])/3,0)</f>
        <v>Q4</v>
      </c>
      <c r="V343" t="str">
        <f>TEXT(tbl_daily[[#This Row],[Date]],"dddd")</f>
        <v>Wednesday</v>
      </c>
      <c r="W343" t="str">
        <f t="shared" si="15"/>
        <v>Loss</v>
      </c>
      <c r="X343">
        <f t="shared" si="16"/>
        <v>10.369321851453194</v>
      </c>
      <c r="Y343">
        <f t="shared" si="17"/>
        <v>-12.773842841765321</v>
      </c>
    </row>
    <row r="344" spans="1:25">
      <c r="A344" s="3">
        <v>45253</v>
      </c>
      <c r="B344" s="1">
        <v>5003.9300000000021</v>
      </c>
      <c r="C344" s="1">
        <v>5770</v>
      </c>
      <c r="D344" s="1">
        <v>766.06999999999789</v>
      </c>
      <c r="E344" s="1">
        <v>955.9000000000002</v>
      </c>
      <c r="F344" s="1">
        <v>2450</v>
      </c>
      <c r="G344" s="1">
        <v>1494.1</v>
      </c>
      <c r="H344" s="1">
        <v>0</v>
      </c>
      <c r="I344" s="1">
        <v>0</v>
      </c>
      <c r="J344" s="1">
        <v>0</v>
      </c>
      <c r="K344" s="1">
        <v>1100</v>
      </c>
      <c r="L344" s="1">
        <v>1420</v>
      </c>
      <c r="M344" s="1">
        <v>320</v>
      </c>
      <c r="N344" s="1">
        <v>2150</v>
      </c>
      <c r="O344" s="1">
        <v>9640</v>
      </c>
      <c r="P344" s="1">
        <v>2580.1699999999978</v>
      </c>
      <c r="Q344" s="1">
        <v>430.1699999999978</v>
      </c>
      <c r="R344">
        <f>YEAR(tbl_daily[[#This Row],[Date]])</f>
        <v>2023</v>
      </c>
      <c r="S344" t="str">
        <f>TEXT(tbl_daily[[#This Row],[Date]],"mmmm")</f>
        <v>November</v>
      </c>
      <c r="T344">
        <f>MONTH(tbl_daily[[#This Row],[Date]])</f>
        <v>11</v>
      </c>
      <c r="U344" t="str">
        <f>"Q"&amp;ROUNDUP(MONTH(tbl_daily[[#This Row],[Date]])/3,0)</f>
        <v>Q4</v>
      </c>
      <c r="V344" t="str">
        <f>TEXT(tbl_daily[[#This Row],[Date]],"dddd")</f>
        <v>Thursday</v>
      </c>
      <c r="W344" t="str">
        <f t="shared" si="15"/>
        <v>Profitable</v>
      </c>
      <c r="X344">
        <f t="shared" si="16"/>
        <v>26.76524896265558</v>
      </c>
      <c r="Y344">
        <f t="shared" si="17"/>
        <v>4.4623443983402264</v>
      </c>
    </row>
    <row r="345" spans="1:25">
      <c r="A345" s="3">
        <v>45254</v>
      </c>
      <c r="B345" s="1">
        <v>5463.2549999999992</v>
      </c>
      <c r="C345" s="1">
        <v>6560</v>
      </c>
      <c r="D345" s="1">
        <v>1096.7450000000008</v>
      </c>
      <c r="E345" s="1">
        <v>1610.5</v>
      </c>
      <c r="F345" s="1">
        <v>2150</v>
      </c>
      <c r="G345" s="1">
        <v>539.5</v>
      </c>
      <c r="H345" s="1">
        <v>612.46999999999991</v>
      </c>
      <c r="I345" s="1">
        <v>2010</v>
      </c>
      <c r="J345" s="1">
        <v>1397.5300000000002</v>
      </c>
      <c r="K345" s="1">
        <v>725</v>
      </c>
      <c r="L345" s="1">
        <v>940</v>
      </c>
      <c r="M345" s="1">
        <v>215</v>
      </c>
      <c r="N345" s="1">
        <v>2150</v>
      </c>
      <c r="O345" s="1">
        <v>11660</v>
      </c>
      <c r="P345" s="1">
        <v>3248.775000000001</v>
      </c>
      <c r="Q345" s="1">
        <v>1098.775000000001</v>
      </c>
      <c r="R345">
        <f>YEAR(tbl_daily[[#This Row],[Date]])</f>
        <v>2023</v>
      </c>
      <c r="S345" t="str">
        <f>TEXT(tbl_daily[[#This Row],[Date]],"mmmm")</f>
        <v>November</v>
      </c>
      <c r="T345">
        <f>MONTH(tbl_daily[[#This Row],[Date]])</f>
        <v>11</v>
      </c>
      <c r="U345" t="str">
        <f>"Q"&amp;ROUNDUP(MONTH(tbl_daily[[#This Row],[Date]])/3,0)</f>
        <v>Q4</v>
      </c>
      <c r="V345" t="str">
        <f>TEXT(tbl_daily[[#This Row],[Date]],"dddd")</f>
        <v>Friday</v>
      </c>
      <c r="W345" t="str">
        <f t="shared" si="15"/>
        <v>Profitable</v>
      </c>
      <c r="X345">
        <f t="shared" si="16"/>
        <v>27.862564322469989</v>
      </c>
      <c r="Y345">
        <f t="shared" si="17"/>
        <v>9.4234562607204193</v>
      </c>
    </row>
    <row r="346" spans="1:25">
      <c r="A346" s="3">
        <v>45255</v>
      </c>
      <c r="B346" s="1">
        <v>5938.65</v>
      </c>
      <c r="C346" s="1">
        <v>7140</v>
      </c>
      <c r="D346" s="1">
        <v>1201.3500000000004</v>
      </c>
      <c r="E346" s="1">
        <v>2878.3500000000008</v>
      </c>
      <c r="F346" s="1">
        <v>5150</v>
      </c>
      <c r="G346" s="1">
        <v>2271.6499999999992</v>
      </c>
      <c r="H346" s="1">
        <v>1526.68</v>
      </c>
      <c r="I346" s="1">
        <v>3280</v>
      </c>
      <c r="J346" s="1">
        <v>1753.32</v>
      </c>
      <c r="K346" s="1">
        <v>1263.3333333333333</v>
      </c>
      <c r="L346" s="1">
        <v>1580</v>
      </c>
      <c r="M346" s="1">
        <v>316.66666666666674</v>
      </c>
      <c r="N346" s="1">
        <v>2150</v>
      </c>
      <c r="O346" s="1">
        <v>17150</v>
      </c>
      <c r="P346" s="1">
        <v>5542.9866666666667</v>
      </c>
      <c r="Q346" s="1">
        <v>3392.9866666666667</v>
      </c>
      <c r="R346">
        <f>YEAR(tbl_daily[[#This Row],[Date]])</f>
        <v>2023</v>
      </c>
      <c r="S346" t="str">
        <f>TEXT(tbl_daily[[#This Row],[Date]],"mmmm")</f>
        <v>November</v>
      </c>
      <c r="T346">
        <f>MONTH(tbl_daily[[#This Row],[Date]])</f>
        <v>11</v>
      </c>
      <c r="U346" t="str">
        <f>"Q"&amp;ROUNDUP(MONTH(tbl_daily[[#This Row],[Date]])/3,0)</f>
        <v>Q4</v>
      </c>
      <c r="V346" t="str">
        <f>TEXT(tbl_daily[[#This Row],[Date]],"dddd")</f>
        <v>Saturday</v>
      </c>
      <c r="W346" t="str">
        <f t="shared" si="15"/>
        <v>Profitable</v>
      </c>
      <c r="X346">
        <f t="shared" si="16"/>
        <v>32.320621963070941</v>
      </c>
      <c r="Y346">
        <f t="shared" si="17"/>
        <v>19.784178814382898</v>
      </c>
    </row>
    <row r="347" spans="1:25">
      <c r="A347" s="3">
        <v>45256</v>
      </c>
      <c r="B347" s="1">
        <v>5404.715000000002</v>
      </c>
      <c r="C347" s="1">
        <v>5430</v>
      </c>
      <c r="D347" s="1">
        <v>25.284999999998035</v>
      </c>
      <c r="E347" s="1">
        <v>1586.3</v>
      </c>
      <c r="F347" s="1">
        <v>1850</v>
      </c>
      <c r="G347" s="1">
        <v>263.70000000000005</v>
      </c>
      <c r="H347" s="1">
        <v>485.46000000000004</v>
      </c>
      <c r="I347" s="1">
        <v>1280</v>
      </c>
      <c r="J347" s="1">
        <v>794.54</v>
      </c>
      <c r="K347" s="1">
        <v>1218.3333333333337</v>
      </c>
      <c r="L347" s="1">
        <v>1540</v>
      </c>
      <c r="M347" s="1">
        <v>321.66666666666652</v>
      </c>
      <c r="N347" s="1">
        <v>2150</v>
      </c>
      <c r="O347" s="1">
        <v>10100</v>
      </c>
      <c r="P347" s="1">
        <v>1405.1916666666646</v>
      </c>
      <c r="Q347" s="1">
        <v>-744.80833333333533</v>
      </c>
      <c r="R347">
        <f>YEAR(tbl_daily[[#This Row],[Date]])</f>
        <v>2023</v>
      </c>
      <c r="S347" t="str">
        <f>TEXT(tbl_daily[[#This Row],[Date]],"mmmm")</f>
        <v>November</v>
      </c>
      <c r="T347">
        <f>MONTH(tbl_daily[[#This Row],[Date]])</f>
        <v>11</v>
      </c>
      <c r="U347" t="str">
        <f>"Q"&amp;ROUNDUP(MONTH(tbl_daily[[#This Row],[Date]])/3,0)</f>
        <v>Q4</v>
      </c>
      <c r="V347" t="str">
        <f>TEXT(tbl_daily[[#This Row],[Date]],"dddd")</f>
        <v>Sunday</v>
      </c>
      <c r="W347" t="str">
        <f t="shared" si="15"/>
        <v>Loss</v>
      </c>
      <c r="X347">
        <f t="shared" si="16"/>
        <v>13.912788778877866</v>
      </c>
      <c r="Y347">
        <f t="shared" si="17"/>
        <v>-7.3743399339934195</v>
      </c>
    </row>
    <row r="348" spans="1:25">
      <c r="A348" s="3">
        <v>45257</v>
      </c>
      <c r="B348" s="1">
        <v>4904.7899999999991</v>
      </c>
      <c r="C348" s="1">
        <v>6550</v>
      </c>
      <c r="D348" s="1">
        <v>1645.2100000000007</v>
      </c>
      <c r="E348" s="1">
        <v>693.1099999999999</v>
      </c>
      <c r="F348" s="1">
        <v>1950</v>
      </c>
      <c r="G348" s="1">
        <v>1256.8900000000001</v>
      </c>
      <c r="H348" s="1">
        <v>77.000000000000057</v>
      </c>
      <c r="I348" s="1">
        <v>400</v>
      </c>
      <c r="J348" s="1">
        <v>322.99999999999994</v>
      </c>
      <c r="K348" s="1">
        <v>605</v>
      </c>
      <c r="L348" s="1">
        <v>790</v>
      </c>
      <c r="M348" s="1">
        <v>185</v>
      </c>
      <c r="N348" s="1">
        <v>2150</v>
      </c>
      <c r="O348" s="1">
        <v>9690</v>
      </c>
      <c r="P348" s="1">
        <v>3410.1000000000013</v>
      </c>
      <c r="Q348" s="1">
        <v>1260.1000000000013</v>
      </c>
      <c r="R348">
        <f>YEAR(tbl_daily[[#This Row],[Date]])</f>
        <v>2023</v>
      </c>
      <c r="S348" t="str">
        <f>TEXT(tbl_daily[[#This Row],[Date]],"mmmm")</f>
        <v>November</v>
      </c>
      <c r="T348">
        <f>MONTH(tbl_daily[[#This Row],[Date]])</f>
        <v>11</v>
      </c>
      <c r="U348" t="str">
        <f>"Q"&amp;ROUNDUP(MONTH(tbl_daily[[#This Row],[Date]])/3,0)</f>
        <v>Q4</v>
      </c>
      <c r="V348" t="str">
        <f>TEXT(tbl_daily[[#This Row],[Date]],"dddd")</f>
        <v>Monday</v>
      </c>
      <c r="W348" t="str">
        <f t="shared" si="15"/>
        <v>Profitable</v>
      </c>
      <c r="X348">
        <f t="shared" si="16"/>
        <v>35.191950464396299</v>
      </c>
      <c r="Y348">
        <f t="shared" si="17"/>
        <v>13.004127966976279</v>
      </c>
    </row>
    <row r="349" spans="1:25">
      <c r="A349" s="3">
        <v>45258</v>
      </c>
      <c r="B349" s="1">
        <v>4473.7199999999993</v>
      </c>
      <c r="C349" s="1">
        <v>3530</v>
      </c>
      <c r="D349" s="1">
        <v>-943.71999999999935</v>
      </c>
      <c r="E349" s="1">
        <v>1685.8</v>
      </c>
      <c r="F349" s="1">
        <v>3050</v>
      </c>
      <c r="G349" s="1">
        <v>1364.2</v>
      </c>
      <c r="H349" s="1">
        <v>725.02</v>
      </c>
      <c r="I349" s="1">
        <v>1900</v>
      </c>
      <c r="J349" s="1">
        <v>1174.98</v>
      </c>
      <c r="K349" s="1">
        <v>863.33333333333348</v>
      </c>
      <c r="L349" s="1">
        <v>1080</v>
      </c>
      <c r="M349" s="1">
        <v>216.66666666666663</v>
      </c>
      <c r="N349" s="1">
        <v>2150</v>
      </c>
      <c r="O349" s="1">
        <v>9560</v>
      </c>
      <c r="P349" s="1">
        <v>1812.1266666666677</v>
      </c>
      <c r="Q349" s="1">
        <v>-337.87333333333254</v>
      </c>
      <c r="R349">
        <f>YEAR(tbl_daily[[#This Row],[Date]])</f>
        <v>2023</v>
      </c>
      <c r="S349" t="str">
        <f>TEXT(tbl_daily[[#This Row],[Date]],"mmmm")</f>
        <v>November</v>
      </c>
      <c r="T349">
        <f>MONTH(tbl_daily[[#This Row],[Date]])</f>
        <v>11</v>
      </c>
      <c r="U349" t="str">
        <f>"Q"&amp;ROUNDUP(MONTH(tbl_daily[[#This Row],[Date]])/3,0)</f>
        <v>Q4</v>
      </c>
      <c r="V349" t="str">
        <f>TEXT(tbl_daily[[#This Row],[Date]],"dddd")</f>
        <v>Tuesday</v>
      </c>
      <c r="W349" t="str">
        <f t="shared" si="15"/>
        <v>Loss</v>
      </c>
      <c r="X349">
        <f t="shared" si="16"/>
        <v>18.955299860529998</v>
      </c>
      <c r="Y349">
        <f t="shared" si="17"/>
        <v>-3.5342398884239805</v>
      </c>
    </row>
    <row r="350" spans="1:25">
      <c r="A350" s="3">
        <v>45259</v>
      </c>
      <c r="B350" s="1">
        <v>4843.91</v>
      </c>
      <c r="C350" s="1">
        <v>6290</v>
      </c>
      <c r="D350" s="1">
        <v>1446.09</v>
      </c>
      <c r="E350" s="1">
        <v>1546.1</v>
      </c>
      <c r="F350" s="1">
        <v>2000</v>
      </c>
      <c r="G350" s="1">
        <v>453.90000000000009</v>
      </c>
      <c r="H350" s="1">
        <v>596.96</v>
      </c>
      <c r="I350" s="1">
        <v>1330</v>
      </c>
      <c r="J350" s="1">
        <v>733.04</v>
      </c>
      <c r="K350" s="1">
        <v>1060</v>
      </c>
      <c r="L350" s="1">
        <v>1380</v>
      </c>
      <c r="M350" s="1">
        <v>320</v>
      </c>
      <c r="N350" s="1">
        <v>2150</v>
      </c>
      <c r="O350" s="1">
        <v>11000</v>
      </c>
      <c r="P350" s="1">
        <v>2953.03</v>
      </c>
      <c r="Q350" s="1">
        <v>803.0300000000002</v>
      </c>
      <c r="R350">
        <f>YEAR(tbl_daily[[#This Row],[Date]])</f>
        <v>2023</v>
      </c>
      <c r="S350" t="str">
        <f>TEXT(tbl_daily[[#This Row],[Date]],"mmmm")</f>
        <v>November</v>
      </c>
      <c r="T350">
        <f>MONTH(tbl_daily[[#This Row],[Date]])</f>
        <v>11</v>
      </c>
      <c r="U350" t="str">
        <f>"Q"&amp;ROUNDUP(MONTH(tbl_daily[[#This Row],[Date]])/3,0)</f>
        <v>Q4</v>
      </c>
      <c r="V350" t="str">
        <f>TEXT(tbl_daily[[#This Row],[Date]],"dddd")</f>
        <v>Wednesday</v>
      </c>
      <c r="W350" t="str">
        <f t="shared" si="15"/>
        <v>Profitable</v>
      </c>
      <c r="X350">
        <f t="shared" si="16"/>
        <v>26.845727272727277</v>
      </c>
      <c r="Y350">
        <f t="shared" si="17"/>
        <v>7.3002727272727288</v>
      </c>
    </row>
    <row r="351" spans="1:25">
      <c r="A351" s="3">
        <v>45260</v>
      </c>
      <c r="B351" s="1">
        <v>6358.7200000000012</v>
      </c>
      <c r="C351" s="1">
        <v>6120</v>
      </c>
      <c r="D351" s="1">
        <v>-238.72000000000116</v>
      </c>
      <c r="E351" s="1">
        <v>2312.36</v>
      </c>
      <c r="F351" s="1">
        <v>3600</v>
      </c>
      <c r="G351" s="1">
        <v>1287.6400000000001</v>
      </c>
      <c r="H351" s="1">
        <v>1108.0700000000002</v>
      </c>
      <c r="I351" s="1">
        <v>2880</v>
      </c>
      <c r="J351" s="1">
        <v>1771.9299999999998</v>
      </c>
      <c r="K351" s="1">
        <v>971.66666666666674</v>
      </c>
      <c r="L351" s="1">
        <v>1280</v>
      </c>
      <c r="M351" s="1">
        <v>308.33333333333326</v>
      </c>
      <c r="N351" s="1">
        <v>2150</v>
      </c>
      <c r="O351" s="1">
        <v>13880</v>
      </c>
      <c r="P351" s="1">
        <v>3129.1833333333316</v>
      </c>
      <c r="Q351" s="1">
        <v>979.18333333333157</v>
      </c>
      <c r="R351">
        <f>YEAR(tbl_daily[[#This Row],[Date]])</f>
        <v>2023</v>
      </c>
      <c r="S351" t="str">
        <f>TEXT(tbl_daily[[#This Row],[Date]],"mmmm")</f>
        <v>November</v>
      </c>
      <c r="T351">
        <f>MONTH(tbl_daily[[#This Row],[Date]])</f>
        <v>11</v>
      </c>
      <c r="U351" t="str">
        <f>"Q"&amp;ROUNDUP(MONTH(tbl_daily[[#This Row],[Date]])/3,0)</f>
        <v>Q4</v>
      </c>
      <c r="V351" t="str">
        <f>TEXT(tbl_daily[[#This Row],[Date]],"dddd")</f>
        <v>Thursday</v>
      </c>
      <c r="W351" t="str">
        <f t="shared" si="15"/>
        <v>Profitable</v>
      </c>
      <c r="X351">
        <f t="shared" si="16"/>
        <v>22.544548511047058</v>
      </c>
      <c r="Y351">
        <f t="shared" si="17"/>
        <v>7.0546349663784707</v>
      </c>
    </row>
    <row r="352" spans="1:25">
      <c r="A352" s="3">
        <v>45261</v>
      </c>
      <c r="B352" s="1">
        <v>7534.1099999999988</v>
      </c>
      <c r="C352" s="1">
        <v>7380</v>
      </c>
      <c r="D352" s="1">
        <v>-154.10999999999876</v>
      </c>
      <c r="E352" s="1">
        <v>3469.79</v>
      </c>
      <c r="F352" s="1">
        <v>4950</v>
      </c>
      <c r="G352" s="1">
        <v>1480.21</v>
      </c>
      <c r="H352" s="1">
        <v>275.66000000000008</v>
      </c>
      <c r="I352" s="1">
        <v>750</v>
      </c>
      <c r="J352" s="1">
        <v>474.33999999999992</v>
      </c>
      <c r="K352" s="1">
        <v>846.66666666666674</v>
      </c>
      <c r="L352" s="1">
        <v>1080</v>
      </c>
      <c r="M352" s="1">
        <v>233.33333333333329</v>
      </c>
      <c r="N352" s="1">
        <v>2150</v>
      </c>
      <c r="O352" s="1">
        <v>14160</v>
      </c>
      <c r="P352" s="1">
        <v>2033.7733333333344</v>
      </c>
      <c r="Q352" s="1">
        <v>-116.22666666666557</v>
      </c>
      <c r="R352">
        <f>YEAR(tbl_daily[[#This Row],[Date]])</f>
        <v>2023</v>
      </c>
      <c r="S352" t="str">
        <f>TEXT(tbl_daily[[#This Row],[Date]],"mmmm")</f>
        <v>December</v>
      </c>
      <c r="T352">
        <f>MONTH(tbl_daily[[#This Row],[Date]])</f>
        <v>12</v>
      </c>
      <c r="U352" t="str">
        <f>"Q"&amp;ROUNDUP(MONTH(tbl_daily[[#This Row],[Date]])/3,0)</f>
        <v>Q4</v>
      </c>
      <c r="V352" t="str">
        <f>TEXT(tbl_daily[[#This Row],[Date]],"dddd")</f>
        <v>Friday</v>
      </c>
      <c r="W352" t="str">
        <f t="shared" si="15"/>
        <v>Loss</v>
      </c>
      <c r="X352">
        <f t="shared" si="16"/>
        <v>14.362806026365357</v>
      </c>
      <c r="Y352">
        <f t="shared" si="17"/>
        <v>-0.82080979284368338</v>
      </c>
    </row>
    <row r="353" spans="1:25">
      <c r="A353" s="3">
        <v>45262</v>
      </c>
      <c r="B353" s="1">
        <v>6336.2650000000003</v>
      </c>
      <c r="C353" s="1">
        <v>5930</v>
      </c>
      <c r="D353" s="1">
        <v>-406.26500000000033</v>
      </c>
      <c r="E353" s="1">
        <v>1876.6</v>
      </c>
      <c r="F353" s="1">
        <v>3550</v>
      </c>
      <c r="G353" s="1">
        <v>1673.4</v>
      </c>
      <c r="H353" s="1">
        <v>236.64999999999992</v>
      </c>
      <c r="I353" s="1">
        <v>750</v>
      </c>
      <c r="J353" s="1">
        <v>513.35000000000014</v>
      </c>
      <c r="K353" s="1">
        <v>1648.3333333333333</v>
      </c>
      <c r="L353" s="1">
        <v>2100</v>
      </c>
      <c r="M353" s="1">
        <v>451.66666666666674</v>
      </c>
      <c r="N353" s="1">
        <v>2150</v>
      </c>
      <c r="O353" s="1">
        <v>12330</v>
      </c>
      <c r="P353" s="1">
        <v>2232.1516666666662</v>
      </c>
      <c r="Q353" s="1">
        <v>82.151666666666642</v>
      </c>
      <c r="R353">
        <f>YEAR(tbl_daily[[#This Row],[Date]])</f>
        <v>2023</v>
      </c>
      <c r="S353" t="str">
        <f>TEXT(tbl_daily[[#This Row],[Date]],"mmmm")</f>
        <v>December</v>
      </c>
      <c r="T353">
        <f>MONTH(tbl_daily[[#This Row],[Date]])</f>
        <v>12</v>
      </c>
      <c r="U353" t="str">
        <f>"Q"&amp;ROUNDUP(MONTH(tbl_daily[[#This Row],[Date]])/3,0)</f>
        <v>Q4</v>
      </c>
      <c r="V353" t="str">
        <f>TEXT(tbl_daily[[#This Row],[Date]],"dddd")</f>
        <v>Saturday</v>
      </c>
      <c r="W353" t="str">
        <f t="shared" si="15"/>
        <v>Profitable</v>
      </c>
      <c r="X353">
        <f t="shared" si="16"/>
        <v>18.103419843200861</v>
      </c>
      <c r="Y353">
        <f t="shared" si="17"/>
        <v>0.66627466882941311</v>
      </c>
    </row>
    <row r="354" spans="1:25">
      <c r="A354" s="3">
        <v>45263</v>
      </c>
      <c r="B354" s="1">
        <v>5857.3350000000009</v>
      </c>
      <c r="C354" s="1">
        <v>5210</v>
      </c>
      <c r="D354" s="1">
        <v>-647.33500000000095</v>
      </c>
      <c r="E354" s="1">
        <v>1459.7500000000002</v>
      </c>
      <c r="F354" s="1">
        <v>2300</v>
      </c>
      <c r="G354" s="1">
        <v>840.24999999999989</v>
      </c>
      <c r="H354" s="1">
        <v>395.09</v>
      </c>
      <c r="I354" s="1">
        <v>1350</v>
      </c>
      <c r="J354" s="1">
        <v>954.91000000000008</v>
      </c>
      <c r="K354" s="1">
        <v>998.33333333333326</v>
      </c>
      <c r="L354" s="1">
        <v>1270</v>
      </c>
      <c r="M354" s="1">
        <v>271.66666666666674</v>
      </c>
      <c r="N354" s="1">
        <v>2150</v>
      </c>
      <c r="O354" s="1">
        <v>10130</v>
      </c>
      <c r="P354" s="1">
        <v>1419.4916666666657</v>
      </c>
      <c r="Q354" s="1">
        <v>-730.50833333333435</v>
      </c>
      <c r="R354">
        <f>YEAR(tbl_daily[[#This Row],[Date]])</f>
        <v>2023</v>
      </c>
      <c r="S354" t="str">
        <f>TEXT(tbl_daily[[#This Row],[Date]],"mmmm")</f>
        <v>December</v>
      </c>
      <c r="T354">
        <f>MONTH(tbl_daily[[#This Row],[Date]])</f>
        <v>12</v>
      </c>
      <c r="U354" t="str">
        <f>"Q"&amp;ROUNDUP(MONTH(tbl_daily[[#This Row],[Date]])/3,0)</f>
        <v>Q4</v>
      </c>
      <c r="V354" t="str">
        <f>TEXT(tbl_daily[[#This Row],[Date]],"dddd")</f>
        <v>Sunday</v>
      </c>
      <c r="W354" t="str">
        <f t="shared" si="15"/>
        <v>Loss</v>
      </c>
      <c r="X354">
        <f t="shared" si="16"/>
        <v>14.012750904902918</v>
      </c>
      <c r="Y354">
        <f t="shared" si="17"/>
        <v>-7.2113359657782263</v>
      </c>
    </row>
    <row r="355" spans="1:25">
      <c r="A355" s="3">
        <v>45264</v>
      </c>
      <c r="B355" s="1">
        <v>6444.5649999999987</v>
      </c>
      <c r="C355" s="1">
        <v>6450</v>
      </c>
      <c r="D355" s="1">
        <v>5.4350000000013097</v>
      </c>
      <c r="E355" s="1">
        <v>2983.2500000000005</v>
      </c>
      <c r="F355" s="1">
        <v>4300</v>
      </c>
      <c r="G355" s="1">
        <v>1316.7499999999995</v>
      </c>
      <c r="H355" s="1">
        <v>390.57000000000005</v>
      </c>
      <c r="I355" s="1">
        <v>480</v>
      </c>
      <c r="J355" s="1">
        <v>89.42999999999995</v>
      </c>
      <c r="K355" s="1">
        <v>1076.6666666666663</v>
      </c>
      <c r="L355" s="1">
        <v>1390</v>
      </c>
      <c r="M355" s="1">
        <v>313.33333333333348</v>
      </c>
      <c r="N355" s="1">
        <v>2150</v>
      </c>
      <c r="O355" s="1">
        <v>12620</v>
      </c>
      <c r="P355" s="1">
        <v>1724.9483333333342</v>
      </c>
      <c r="Q355" s="1">
        <v>-425.05166666666582</v>
      </c>
      <c r="R355">
        <f>YEAR(tbl_daily[[#This Row],[Date]])</f>
        <v>2023</v>
      </c>
      <c r="S355" t="str">
        <f>TEXT(tbl_daily[[#This Row],[Date]],"mmmm")</f>
        <v>December</v>
      </c>
      <c r="T355">
        <f>MONTH(tbl_daily[[#This Row],[Date]])</f>
        <v>12</v>
      </c>
      <c r="U355" t="str">
        <f>"Q"&amp;ROUNDUP(MONTH(tbl_daily[[#This Row],[Date]])/3,0)</f>
        <v>Q4</v>
      </c>
      <c r="V355" t="str">
        <f>TEXT(tbl_daily[[#This Row],[Date]],"dddd")</f>
        <v>Monday</v>
      </c>
      <c r="W355" t="str">
        <f t="shared" si="15"/>
        <v>Loss</v>
      </c>
      <c r="X355">
        <f t="shared" si="16"/>
        <v>13.668370311674597</v>
      </c>
      <c r="Y355">
        <f t="shared" si="17"/>
        <v>-3.3680797675647058</v>
      </c>
    </row>
    <row r="356" spans="1:25">
      <c r="A356" s="3">
        <v>45265</v>
      </c>
      <c r="B356" s="1">
        <v>4780.9750000000022</v>
      </c>
      <c r="C356" s="1">
        <v>6810</v>
      </c>
      <c r="D356" s="1">
        <v>2029.0249999999976</v>
      </c>
      <c r="E356" s="1">
        <v>2249.3000000000006</v>
      </c>
      <c r="F356" s="1">
        <v>5200</v>
      </c>
      <c r="G356" s="1">
        <v>2950.6999999999994</v>
      </c>
      <c r="H356" s="1">
        <v>1071.51</v>
      </c>
      <c r="I356" s="1">
        <v>1630</v>
      </c>
      <c r="J356" s="1">
        <v>558.49</v>
      </c>
      <c r="K356" s="1">
        <v>666.66666666666663</v>
      </c>
      <c r="L356" s="1">
        <v>850</v>
      </c>
      <c r="M356" s="1">
        <v>183.33333333333337</v>
      </c>
      <c r="N356" s="1">
        <v>2150</v>
      </c>
      <c r="O356" s="1">
        <v>14490</v>
      </c>
      <c r="P356" s="1">
        <v>5721.5483333333295</v>
      </c>
      <c r="Q356" s="1">
        <v>3571.5483333333295</v>
      </c>
      <c r="R356">
        <f>YEAR(tbl_daily[[#This Row],[Date]])</f>
        <v>2023</v>
      </c>
      <c r="S356" t="str">
        <f>TEXT(tbl_daily[[#This Row],[Date]],"mmmm")</f>
        <v>December</v>
      </c>
      <c r="T356">
        <f>MONTH(tbl_daily[[#This Row],[Date]])</f>
        <v>12</v>
      </c>
      <c r="U356" t="str">
        <f>"Q"&amp;ROUNDUP(MONTH(tbl_daily[[#This Row],[Date]])/3,0)</f>
        <v>Q4</v>
      </c>
      <c r="V356" t="str">
        <f>TEXT(tbl_daily[[#This Row],[Date]],"dddd")</f>
        <v>Tuesday</v>
      </c>
      <c r="W356" t="str">
        <f t="shared" si="15"/>
        <v>Profitable</v>
      </c>
      <c r="X356">
        <f t="shared" si="16"/>
        <v>39.486185875316281</v>
      </c>
      <c r="Y356">
        <f t="shared" si="17"/>
        <v>24.648366689671011</v>
      </c>
    </row>
    <row r="357" spans="1:25">
      <c r="A357" s="3">
        <v>45266</v>
      </c>
      <c r="B357" s="1">
        <v>5050.8380000000006</v>
      </c>
      <c r="C357" s="1">
        <v>5190</v>
      </c>
      <c r="D357" s="1">
        <v>139.16199999999935</v>
      </c>
      <c r="E357" s="1">
        <v>1610.8</v>
      </c>
      <c r="F357" s="1">
        <v>2100</v>
      </c>
      <c r="G357" s="1">
        <v>489.2000000000001</v>
      </c>
      <c r="H357" s="1">
        <v>1090.0200000000002</v>
      </c>
      <c r="I357" s="1">
        <v>1210</v>
      </c>
      <c r="J357" s="1">
        <v>119.97999999999979</v>
      </c>
      <c r="K357" s="1">
        <v>531.66666666666663</v>
      </c>
      <c r="L357" s="1">
        <v>670</v>
      </c>
      <c r="M357" s="1">
        <v>138.33333333333337</v>
      </c>
      <c r="N357" s="1">
        <v>2150</v>
      </c>
      <c r="O357" s="1">
        <v>9170</v>
      </c>
      <c r="P357" s="1">
        <v>886.67533333333245</v>
      </c>
      <c r="Q357" s="1">
        <v>-1263.3246666666671</v>
      </c>
      <c r="R357">
        <f>YEAR(tbl_daily[[#This Row],[Date]])</f>
        <v>2023</v>
      </c>
      <c r="S357" t="str">
        <f>TEXT(tbl_daily[[#This Row],[Date]],"mmmm")</f>
        <v>December</v>
      </c>
      <c r="T357">
        <f>MONTH(tbl_daily[[#This Row],[Date]])</f>
        <v>12</v>
      </c>
      <c r="U357" t="str">
        <f>"Q"&amp;ROUNDUP(MONTH(tbl_daily[[#This Row],[Date]])/3,0)</f>
        <v>Q4</v>
      </c>
      <c r="V357" t="str">
        <f>TEXT(tbl_daily[[#This Row],[Date]],"dddd")</f>
        <v>Wednesday</v>
      </c>
      <c r="W357" t="str">
        <f t="shared" si="15"/>
        <v>Loss</v>
      </c>
      <c r="X357">
        <f t="shared" si="16"/>
        <v>9.6693057070156208</v>
      </c>
      <c r="Y357">
        <f t="shared" si="17"/>
        <v>-13.77671392221011</v>
      </c>
    </row>
    <row r="358" spans="1:25">
      <c r="A358" s="3">
        <v>45267</v>
      </c>
      <c r="B358" s="1">
        <v>5713.7349999999979</v>
      </c>
      <c r="C358" s="1">
        <v>3650</v>
      </c>
      <c r="D358" s="1">
        <v>-2063.7349999999979</v>
      </c>
      <c r="E358" s="1">
        <v>2826.5000000000005</v>
      </c>
      <c r="F358" s="1">
        <v>5350</v>
      </c>
      <c r="G358" s="1">
        <v>2523.4999999999995</v>
      </c>
      <c r="H358" s="1">
        <v>643.38000000000011</v>
      </c>
      <c r="I358" s="1">
        <v>1530</v>
      </c>
      <c r="J358" s="1">
        <v>886.61999999999989</v>
      </c>
      <c r="K358" s="1">
        <v>783.33333333333348</v>
      </c>
      <c r="L358" s="1">
        <v>990</v>
      </c>
      <c r="M358" s="1">
        <v>206.66666666666663</v>
      </c>
      <c r="N358" s="1">
        <v>2150</v>
      </c>
      <c r="O358" s="1">
        <v>11520</v>
      </c>
      <c r="P358" s="1">
        <v>1553.0516666666681</v>
      </c>
      <c r="Q358" s="1">
        <v>-596.9483333333319</v>
      </c>
      <c r="R358">
        <f>YEAR(tbl_daily[[#This Row],[Date]])</f>
        <v>2023</v>
      </c>
      <c r="S358" t="str">
        <f>TEXT(tbl_daily[[#This Row],[Date]],"mmmm")</f>
        <v>December</v>
      </c>
      <c r="T358">
        <f>MONTH(tbl_daily[[#This Row],[Date]])</f>
        <v>12</v>
      </c>
      <c r="U358" t="str">
        <f>"Q"&amp;ROUNDUP(MONTH(tbl_daily[[#This Row],[Date]])/3,0)</f>
        <v>Q4</v>
      </c>
      <c r="V358" t="str">
        <f>TEXT(tbl_daily[[#This Row],[Date]],"dddd")</f>
        <v>Thursday</v>
      </c>
      <c r="W358" t="str">
        <f t="shared" si="15"/>
        <v>Loss</v>
      </c>
      <c r="X358">
        <f t="shared" si="16"/>
        <v>13.48135127314816</v>
      </c>
      <c r="Y358">
        <f t="shared" si="17"/>
        <v>-5.1818431712962836</v>
      </c>
    </row>
    <row r="359" spans="1:25">
      <c r="A359" s="3">
        <v>45268</v>
      </c>
      <c r="B359" s="1">
        <v>7436.2700000000013</v>
      </c>
      <c r="C359" s="1">
        <v>6020</v>
      </c>
      <c r="D359" s="1">
        <v>-1416.2700000000011</v>
      </c>
      <c r="E359" s="1">
        <v>939.8</v>
      </c>
      <c r="F359" s="1">
        <v>1950</v>
      </c>
      <c r="G359" s="1">
        <v>1010.2</v>
      </c>
      <c r="H359" s="1">
        <v>446.95000000000005</v>
      </c>
      <c r="I359" s="1">
        <v>1200</v>
      </c>
      <c r="J359" s="1">
        <v>753.05</v>
      </c>
      <c r="K359" s="1">
        <v>423.33333333333326</v>
      </c>
      <c r="L359" s="1">
        <v>540</v>
      </c>
      <c r="M359" s="1">
        <v>116.66666666666669</v>
      </c>
      <c r="N359" s="1">
        <v>2150</v>
      </c>
      <c r="O359" s="1">
        <v>9710</v>
      </c>
      <c r="P359" s="1">
        <v>463.64666666666523</v>
      </c>
      <c r="Q359" s="1">
        <v>-1686.3533333333348</v>
      </c>
      <c r="R359">
        <f>YEAR(tbl_daily[[#This Row],[Date]])</f>
        <v>2023</v>
      </c>
      <c r="S359" t="str">
        <f>TEXT(tbl_daily[[#This Row],[Date]],"mmmm")</f>
        <v>December</v>
      </c>
      <c r="T359">
        <f>MONTH(tbl_daily[[#This Row],[Date]])</f>
        <v>12</v>
      </c>
      <c r="U359" t="str">
        <f>"Q"&amp;ROUNDUP(MONTH(tbl_daily[[#This Row],[Date]])/3,0)</f>
        <v>Q4</v>
      </c>
      <c r="V359" t="str">
        <f>TEXT(tbl_daily[[#This Row],[Date]],"dddd")</f>
        <v>Friday</v>
      </c>
      <c r="W359" t="str">
        <f t="shared" si="15"/>
        <v>Loss</v>
      </c>
      <c r="X359">
        <f t="shared" si="16"/>
        <v>4.7749399244764703</v>
      </c>
      <c r="Y359">
        <f t="shared" si="17"/>
        <v>-17.367181599725384</v>
      </c>
    </row>
    <row r="360" spans="1:25">
      <c r="A360" s="3">
        <v>45269</v>
      </c>
      <c r="B360" s="1">
        <v>4216.4699999999993</v>
      </c>
      <c r="C360" s="1">
        <v>5140</v>
      </c>
      <c r="D360" s="1">
        <v>923.53000000000065</v>
      </c>
      <c r="E360" s="1">
        <v>3137.1499999999996</v>
      </c>
      <c r="F360" s="1">
        <v>6450</v>
      </c>
      <c r="G360" s="1">
        <v>3312.8500000000004</v>
      </c>
      <c r="H360" s="1">
        <v>334.34</v>
      </c>
      <c r="I360" s="1">
        <v>1280</v>
      </c>
      <c r="J360" s="1">
        <v>945.66000000000008</v>
      </c>
      <c r="K360" s="1">
        <v>1046.6666666666663</v>
      </c>
      <c r="L360" s="1">
        <v>1320</v>
      </c>
      <c r="M360" s="1">
        <v>273.33333333333348</v>
      </c>
      <c r="N360" s="1">
        <v>2150</v>
      </c>
      <c r="O360" s="1">
        <v>14190</v>
      </c>
      <c r="P360" s="1">
        <v>5455.3733333333348</v>
      </c>
      <c r="Q360" s="1">
        <v>3305.3733333333348</v>
      </c>
      <c r="R360">
        <f>YEAR(tbl_daily[[#This Row],[Date]])</f>
        <v>2023</v>
      </c>
      <c r="S360" t="str">
        <f>TEXT(tbl_daily[[#This Row],[Date]],"mmmm")</f>
        <v>December</v>
      </c>
      <c r="T360">
        <f>MONTH(tbl_daily[[#This Row],[Date]])</f>
        <v>12</v>
      </c>
      <c r="U360" t="str">
        <f>"Q"&amp;ROUNDUP(MONTH(tbl_daily[[#This Row],[Date]])/3,0)</f>
        <v>Q4</v>
      </c>
      <c r="V360" t="str">
        <f>TEXT(tbl_daily[[#This Row],[Date]],"dddd")</f>
        <v>Saturday</v>
      </c>
      <c r="W360" t="str">
        <f t="shared" si="15"/>
        <v>Profitable</v>
      </c>
      <c r="X360">
        <f t="shared" si="16"/>
        <v>38.445196147521735</v>
      </c>
      <c r="Y360">
        <f t="shared" si="17"/>
        <v>23.293680996006589</v>
      </c>
    </row>
    <row r="361" spans="1:25">
      <c r="A361" s="3">
        <v>45270</v>
      </c>
      <c r="B361" s="1">
        <v>6326.7399999999989</v>
      </c>
      <c r="C361" s="1">
        <v>5530</v>
      </c>
      <c r="D361" s="1">
        <v>-796.73999999999887</v>
      </c>
      <c r="E361" s="1">
        <v>3680.3</v>
      </c>
      <c r="F361" s="1">
        <v>6450</v>
      </c>
      <c r="G361" s="1">
        <v>2769.7000000000003</v>
      </c>
      <c r="H361" s="1">
        <v>966.95</v>
      </c>
      <c r="I361" s="1">
        <v>1510</v>
      </c>
      <c r="J361" s="1">
        <v>543.04999999999995</v>
      </c>
      <c r="K361" s="1">
        <v>1263.3333333333337</v>
      </c>
      <c r="L361" s="1">
        <v>1580</v>
      </c>
      <c r="M361" s="1">
        <v>316.66666666666652</v>
      </c>
      <c r="N361" s="1">
        <v>2150</v>
      </c>
      <c r="O361" s="1">
        <v>15070</v>
      </c>
      <c r="P361" s="1">
        <v>2832.6766666666681</v>
      </c>
      <c r="Q361" s="1">
        <v>682.6766666666681</v>
      </c>
      <c r="R361">
        <f>YEAR(tbl_daily[[#This Row],[Date]])</f>
        <v>2023</v>
      </c>
      <c r="S361" t="str">
        <f>TEXT(tbl_daily[[#This Row],[Date]],"mmmm")</f>
        <v>December</v>
      </c>
      <c r="T361">
        <f>MONTH(tbl_daily[[#This Row],[Date]])</f>
        <v>12</v>
      </c>
      <c r="U361" t="str">
        <f>"Q"&amp;ROUNDUP(MONTH(tbl_daily[[#This Row],[Date]])/3,0)</f>
        <v>Q4</v>
      </c>
      <c r="V361" t="str">
        <f>TEXT(tbl_daily[[#This Row],[Date]],"dddd")</f>
        <v>Sunday</v>
      </c>
      <c r="W361" t="str">
        <f t="shared" si="15"/>
        <v>Profitable</v>
      </c>
      <c r="X361">
        <f t="shared" si="16"/>
        <v>18.796792744967934</v>
      </c>
      <c r="Y361">
        <f t="shared" si="17"/>
        <v>4.5300376023003857</v>
      </c>
    </row>
    <row r="362" spans="1:25">
      <c r="A362" s="3">
        <v>45271</v>
      </c>
      <c r="B362" s="1">
        <v>5554.71</v>
      </c>
      <c r="C362" s="1">
        <v>7920</v>
      </c>
      <c r="D362" s="1">
        <v>2365.29</v>
      </c>
      <c r="E362" s="1">
        <v>2246.6999999999998</v>
      </c>
      <c r="F362" s="1">
        <v>3600</v>
      </c>
      <c r="G362" s="1">
        <v>1353.3000000000002</v>
      </c>
      <c r="H362" s="1">
        <v>869.67</v>
      </c>
      <c r="I362" s="1">
        <v>2010</v>
      </c>
      <c r="J362" s="1">
        <v>1140.33</v>
      </c>
      <c r="K362" s="1">
        <v>1263.3333333333333</v>
      </c>
      <c r="L362" s="1">
        <v>1590</v>
      </c>
      <c r="M362" s="1">
        <v>326.66666666666674</v>
      </c>
      <c r="N362" s="1">
        <v>2150</v>
      </c>
      <c r="O362" s="1">
        <v>15120</v>
      </c>
      <c r="P362" s="1">
        <v>5185.586666666667</v>
      </c>
      <c r="Q362" s="1">
        <v>3035.586666666667</v>
      </c>
      <c r="R362">
        <f>YEAR(tbl_daily[[#This Row],[Date]])</f>
        <v>2023</v>
      </c>
      <c r="S362" t="str">
        <f>TEXT(tbl_daily[[#This Row],[Date]],"mmmm")</f>
        <v>December</v>
      </c>
      <c r="T362">
        <f>MONTH(tbl_daily[[#This Row],[Date]])</f>
        <v>12</v>
      </c>
      <c r="U362" t="str">
        <f>"Q"&amp;ROUNDUP(MONTH(tbl_daily[[#This Row],[Date]])/3,0)</f>
        <v>Q4</v>
      </c>
      <c r="V362" t="str">
        <f>TEXT(tbl_daily[[#This Row],[Date]],"dddd")</f>
        <v>Monday</v>
      </c>
      <c r="W362" t="str">
        <f t="shared" si="15"/>
        <v>Profitable</v>
      </c>
      <c r="X362">
        <f t="shared" si="16"/>
        <v>34.29620811287478</v>
      </c>
      <c r="Y362">
        <f t="shared" si="17"/>
        <v>20.076631393298062</v>
      </c>
    </row>
    <row r="363" spans="1:25">
      <c r="A363" s="3">
        <v>45272</v>
      </c>
      <c r="B363" s="1">
        <v>5680.7949999999992</v>
      </c>
      <c r="C363" s="1">
        <v>4140</v>
      </c>
      <c r="D363" s="1">
        <v>-1540.7949999999992</v>
      </c>
      <c r="E363" s="1">
        <v>1371.9499999999998</v>
      </c>
      <c r="F363" s="1">
        <v>2150</v>
      </c>
      <c r="G363" s="1">
        <v>778.05000000000018</v>
      </c>
      <c r="H363" s="1">
        <v>1429.9099999999999</v>
      </c>
      <c r="I363" s="1">
        <v>1360</v>
      </c>
      <c r="J363" s="1">
        <v>-69.909999999999854</v>
      </c>
      <c r="K363" s="1">
        <v>735</v>
      </c>
      <c r="L363" s="1">
        <v>930</v>
      </c>
      <c r="M363" s="1">
        <v>195</v>
      </c>
      <c r="N363" s="1">
        <v>2150</v>
      </c>
      <c r="O363" s="1">
        <v>8580</v>
      </c>
      <c r="P363" s="1">
        <v>-637.65499999999884</v>
      </c>
      <c r="Q363" s="1">
        <v>-2787.6549999999988</v>
      </c>
      <c r="R363">
        <f>YEAR(tbl_daily[[#This Row],[Date]])</f>
        <v>2023</v>
      </c>
      <c r="S363" t="str">
        <f>TEXT(tbl_daily[[#This Row],[Date]],"mmmm")</f>
        <v>December</v>
      </c>
      <c r="T363">
        <f>MONTH(tbl_daily[[#This Row],[Date]])</f>
        <v>12</v>
      </c>
      <c r="U363" t="str">
        <f>"Q"&amp;ROUNDUP(MONTH(tbl_daily[[#This Row],[Date]])/3,0)</f>
        <v>Q4</v>
      </c>
      <c r="V363" t="str">
        <f>TEXT(tbl_daily[[#This Row],[Date]],"dddd")</f>
        <v>Tuesday</v>
      </c>
      <c r="W363" t="str">
        <f t="shared" si="15"/>
        <v>Loss</v>
      </c>
      <c r="X363">
        <f t="shared" si="16"/>
        <v>-7.4318764568764433</v>
      </c>
      <c r="Y363">
        <f t="shared" si="17"/>
        <v>-32.490151515151503</v>
      </c>
    </row>
    <row r="364" spans="1:25">
      <c r="A364" s="3">
        <v>45273</v>
      </c>
      <c r="B364" s="1">
        <v>4880.545000000001</v>
      </c>
      <c r="C364" s="1">
        <v>5540</v>
      </c>
      <c r="D364" s="1">
        <v>659.45499999999902</v>
      </c>
      <c r="E364" s="1">
        <v>2799.8999999999996</v>
      </c>
      <c r="F364" s="1">
        <v>4950</v>
      </c>
      <c r="G364" s="1">
        <v>2150.1000000000004</v>
      </c>
      <c r="H364" s="1">
        <v>777.27999999999986</v>
      </c>
      <c r="I364" s="1">
        <v>2410</v>
      </c>
      <c r="J364" s="1">
        <v>1632.7200000000003</v>
      </c>
      <c r="K364" s="1">
        <v>826.66666666666652</v>
      </c>
      <c r="L364" s="1">
        <v>1050</v>
      </c>
      <c r="M364" s="1">
        <v>223.33333333333337</v>
      </c>
      <c r="N364" s="1">
        <v>2150</v>
      </c>
      <c r="O364" s="1">
        <v>13950</v>
      </c>
      <c r="P364" s="1">
        <v>4665.6083333333327</v>
      </c>
      <c r="Q364" s="1">
        <v>2515.6083333333327</v>
      </c>
      <c r="R364">
        <f>YEAR(tbl_daily[[#This Row],[Date]])</f>
        <v>2023</v>
      </c>
      <c r="S364" t="str">
        <f>TEXT(tbl_daily[[#This Row],[Date]],"mmmm")</f>
        <v>December</v>
      </c>
      <c r="T364">
        <f>MONTH(tbl_daily[[#This Row],[Date]])</f>
        <v>12</v>
      </c>
      <c r="U364" t="str">
        <f>"Q"&amp;ROUNDUP(MONTH(tbl_daily[[#This Row],[Date]])/3,0)</f>
        <v>Q4</v>
      </c>
      <c r="V364" t="str">
        <f>TEXT(tbl_daily[[#This Row],[Date]],"dddd")</f>
        <v>Wednesday</v>
      </c>
      <c r="W364" t="str">
        <f t="shared" si="15"/>
        <v>Profitable</v>
      </c>
      <c r="X364">
        <f t="shared" si="16"/>
        <v>33.445221027479086</v>
      </c>
      <c r="Y364">
        <f t="shared" si="17"/>
        <v>18.033034647550771</v>
      </c>
    </row>
    <row r="365" spans="1:25">
      <c r="A365" s="3">
        <v>45274</v>
      </c>
      <c r="B365" s="1">
        <v>6066.329999999999</v>
      </c>
      <c r="C365" s="1">
        <v>5160</v>
      </c>
      <c r="D365" s="1">
        <v>-906.32999999999902</v>
      </c>
      <c r="E365" s="1">
        <v>1900.2</v>
      </c>
      <c r="F365" s="1">
        <v>4550</v>
      </c>
      <c r="G365" s="1">
        <v>2649.8</v>
      </c>
      <c r="H365" s="1">
        <v>123.15000000000008</v>
      </c>
      <c r="I365" s="1">
        <v>730</v>
      </c>
      <c r="J365" s="1">
        <v>606.84999999999991</v>
      </c>
      <c r="K365" s="1">
        <v>1443.3333333333337</v>
      </c>
      <c r="L365" s="1">
        <v>1810</v>
      </c>
      <c r="M365" s="1">
        <v>366.66666666666657</v>
      </c>
      <c r="N365" s="1">
        <v>2150</v>
      </c>
      <c r="O365" s="1">
        <v>12250</v>
      </c>
      <c r="P365" s="1">
        <v>2716.9866666666676</v>
      </c>
      <c r="Q365" s="1">
        <v>566.98666666666759</v>
      </c>
      <c r="R365">
        <f>YEAR(tbl_daily[[#This Row],[Date]])</f>
        <v>2023</v>
      </c>
      <c r="S365" t="str">
        <f>TEXT(tbl_daily[[#This Row],[Date]],"mmmm")</f>
        <v>December</v>
      </c>
      <c r="T365">
        <f>MONTH(tbl_daily[[#This Row],[Date]])</f>
        <v>12</v>
      </c>
      <c r="U365" t="str">
        <f>"Q"&amp;ROUNDUP(MONTH(tbl_daily[[#This Row],[Date]])/3,0)</f>
        <v>Q4</v>
      </c>
      <c r="V365" t="str">
        <f>TEXT(tbl_daily[[#This Row],[Date]],"dddd")</f>
        <v>Thursday</v>
      </c>
      <c r="W365" t="str">
        <f t="shared" si="15"/>
        <v>Profitable</v>
      </c>
      <c r="X365">
        <f t="shared" si="16"/>
        <v>22.179482993197286</v>
      </c>
      <c r="Y365">
        <f t="shared" si="17"/>
        <v>4.6284625850340211</v>
      </c>
    </row>
    <row r="366" spans="1:25">
      <c r="A366" s="3">
        <v>45275</v>
      </c>
      <c r="B366" s="1">
        <v>6419.7249999999985</v>
      </c>
      <c r="C366" s="1">
        <v>5060</v>
      </c>
      <c r="D366" s="1">
        <v>-1359.7249999999983</v>
      </c>
      <c r="E366" s="1">
        <v>3776.2000000000016</v>
      </c>
      <c r="F366" s="1">
        <v>7350</v>
      </c>
      <c r="G366" s="1">
        <v>3573.7999999999988</v>
      </c>
      <c r="H366" s="1">
        <v>263.26</v>
      </c>
      <c r="I366" s="1">
        <v>1460</v>
      </c>
      <c r="J366" s="1">
        <v>1196.74</v>
      </c>
      <c r="K366" s="1">
        <v>1056.6666666666667</v>
      </c>
      <c r="L366" s="1">
        <v>1370</v>
      </c>
      <c r="M366" s="1">
        <v>313.33333333333326</v>
      </c>
      <c r="N366" s="1">
        <v>2150</v>
      </c>
      <c r="O366" s="1">
        <v>15240</v>
      </c>
      <c r="P366" s="1">
        <v>3724.1483333333335</v>
      </c>
      <c r="Q366" s="1">
        <v>1574.1483333333335</v>
      </c>
      <c r="R366">
        <f>YEAR(tbl_daily[[#This Row],[Date]])</f>
        <v>2023</v>
      </c>
      <c r="S366" t="str">
        <f>TEXT(tbl_daily[[#This Row],[Date]],"mmmm")</f>
        <v>December</v>
      </c>
      <c r="T366">
        <f>MONTH(tbl_daily[[#This Row],[Date]])</f>
        <v>12</v>
      </c>
      <c r="U366" t="str">
        <f>"Q"&amp;ROUNDUP(MONTH(tbl_daily[[#This Row],[Date]])/3,0)</f>
        <v>Q4</v>
      </c>
      <c r="V366" t="str">
        <f>TEXT(tbl_daily[[#This Row],[Date]],"dddd")</f>
        <v>Friday</v>
      </c>
      <c r="W366" t="str">
        <f t="shared" si="15"/>
        <v>Profitable</v>
      </c>
      <c r="X366">
        <f t="shared" si="16"/>
        <v>24.436668853893266</v>
      </c>
      <c r="Y366">
        <f t="shared" si="17"/>
        <v>10.329057305336836</v>
      </c>
    </row>
    <row r="367" spans="1:25">
      <c r="A367" s="3">
        <v>45276</v>
      </c>
      <c r="B367" s="1">
        <v>5287.4450000000024</v>
      </c>
      <c r="C367" s="1">
        <v>2390</v>
      </c>
      <c r="D367" s="1">
        <v>-2897.4450000000024</v>
      </c>
      <c r="E367" s="1">
        <v>2791.95</v>
      </c>
      <c r="F367" s="1">
        <v>5150</v>
      </c>
      <c r="G367" s="1">
        <v>2358.0500000000002</v>
      </c>
      <c r="H367" s="1">
        <v>691.07</v>
      </c>
      <c r="I367" s="1">
        <v>1940</v>
      </c>
      <c r="J367" s="1">
        <v>1248.9299999999998</v>
      </c>
      <c r="K367" s="1">
        <v>890</v>
      </c>
      <c r="L367" s="1">
        <v>1140</v>
      </c>
      <c r="M367" s="1">
        <v>250</v>
      </c>
      <c r="N367" s="1">
        <v>2150</v>
      </c>
      <c r="O367" s="1">
        <v>10620</v>
      </c>
      <c r="P367" s="1">
        <v>959.53499999999758</v>
      </c>
      <c r="Q367" s="1">
        <v>-1190.4650000000024</v>
      </c>
      <c r="R367">
        <f>YEAR(tbl_daily[[#This Row],[Date]])</f>
        <v>2023</v>
      </c>
      <c r="S367" t="str">
        <f>TEXT(tbl_daily[[#This Row],[Date]],"mmmm")</f>
        <v>December</v>
      </c>
      <c r="T367">
        <f>MONTH(tbl_daily[[#This Row],[Date]])</f>
        <v>12</v>
      </c>
      <c r="U367" t="str">
        <f>"Q"&amp;ROUNDUP(MONTH(tbl_daily[[#This Row],[Date]])/3,0)</f>
        <v>Q4</v>
      </c>
      <c r="V367" t="str">
        <f>TEXT(tbl_daily[[#This Row],[Date]],"dddd")</f>
        <v>Saturday</v>
      </c>
      <c r="W367" t="str">
        <f t="shared" si="15"/>
        <v>Loss</v>
      </c>
      <c r="X367">
        <f t="shared" si="16"/>
        <v>9.0351694915254015</v>
      </c>
      <c r="Y367">
        <f t="shared" si="17"/>
        <v>-11.209651600753318</v>
      </c>
    </row>
    <row r="368" spans="1:25">
      <c r="A368" s="3">
        <v>45277</v>
      </c>
      <c r="B368" s="1">
        <v>6114.7199999999984</v>
      </c>
      <c r="C368" s="1">
        <v>4750</v>
      </c>
      <c r="D368" s="1">
        <v>-1364.7199999999984</v>
      </c>
      <c r="E368" s="1">
        <v>1400.4999999999998</v>
      </c>
      <c r="F368" s="1">
        <v>2700</v>
      </c>
      <c r="G368" s="1">
        <v>1299.5000000000002</v>
      </c>
      <c r="H368" s="1">
        <v>951.55</v>
      </c>
      <c r="I368" s="1">
        <v>730</v>
      </c>
      <c r="J368" s="1">
        <v>-221.54999999999995</v>
      </c>
      <c r="K368" s="1">
        <v>853.33333333333348</v>
      </c>
      <c r="L368" s="1">
        <v>1100</v>
      </c>
      <c r="M368" s="1">
        <v>246.66666666666663</v>
      </c>
      <c r="N368" s="1">
        <v>2150</v>
      </c>
      <c r="O368" s="1">
        <v>9280</v>
      </c>
      <c r="P368" s="1">
        <v>-40.103333333331534</v>
      </c>
      <c r="Q368" s="1">
        <v>-2190.1033333333316</v>
      </c>
      <c r="R368">
        <f>YEAR(tbl_daily[[#This Row],[Date]])</f>
        <v>2023</v>
      </c>
      <c r="S368" t="str">
        <f>TEXT(tbl_daily[[#This Row],[Date]],"mmmm")</f>
        <v>December</v>
      </c>
      <c r="T368">
        <f>MONTH(tbl_daily[[#This Row],[Date]])</f>
        <v>12</v>
      </c>
      <c r="U368" t="str">
        <f>"Q"&amp;ROUNDUP(MONTH(tbl_daily[[#This Row],[Date]])/3,0)</f>
        <v>Q4</v>
      </c>
      <c r="V368" t="str">
        <f>TEXT(tbl_daily[[#This Row],[Date]],"dddd")</f>
        <v>Sunday</v>
      </c>
      <c r="W368" t="str">
        <f t="shared" si="15"/>
        <v>Loss</v>
      </c>
      <c r="X368">
        <f t="shared" si="16"/>
        <v>-0.43214798850572772</v>
      </c>
      <c r="Y368">
        <f t="shared" si="17"/>
        <v>-23.600251436781591</v>
      </c>
    </row>
    <row r="369" spans="1:25">
      <c r="A369" s="3">
        <v>45278</v>
      </c>
      <c r="B369" s="1">
        <v>4954.510000000002</v>
      </c>
      <c r="C369" s="1">
        <v>4540</v>
      </c>
      <c r="D369" s="1">
        <v>-414.51000000000209</v>
      </c>
      <c r="E369" s="1">
        <v>1137.8499999999999</v>
      </c>
      <c r="F369" s="1">
        <v>1550</v>
      </c>
      <c r="G369" s="1">
        <v>412.14999999999986</v>
      </c>
      <c r="H369" s="1">
        <v>124.50000000000001</v>
      </c>
      <c r="I369" s="1">
        <v>0</v>
      </c>
      <c r="J369" s="1">
        <v>-124.50000000000001</v>
      </c>
      <c r="K369" s="1">
        <v>1301.6666666666667</v>
      </c>
      <c r="L369" s="1">
        <v>1650</v>
      </c>
      <c r="M369" s="1">
        <v>348.33333333333326</v>
      </c>
      <c r="N369" s="1">
        <v>2150</v>
      </c>
      <c r="O369" s="1">
        <v>7740</v>
      </c>
      <c r="P369" s="1">
        <v>221.47333333333108</v>
      </c>
      <c r="Q369" s="1">
        <v>-1928.5266666666687</v>
      </c>
      <c r="R369">
        <f>YEAR(tbl_daily[[#This Row],[Date]])</f>
        <v>2023</v>
      </c>
      <c r="S369" t="str">
        <f>TEXT(tbl_daily[[#This Row],[Date]],"mmmm")</f>
        <v>December</v>
      </c>
      <c r="T369">
        <f>MONTH(tbl_daily[[#This Row],[Date]])</f>
        <v>12</v>
      </c>
      <c r="U369" t="str">
        <f>"Q"&amp;ROUNDUP(MONTH(tbl_daily[[#This Row],[Date]])/3,0)</f>
        <v>Q4</v>
      </c>
      <c r="V369" t="str">
        <f>TEXT(tbl_daily[[#This Row],[Date]],"dddd")</f>
        <v>Monday</v>
      </c>
      <c r="W369" t="str">
        <f t="shared" si="15"/>
        <v>Loss</v>
      </c>
      <c r="X369">
        <f t="shared" si="16"/>
        <v>2.8614125753660344</v>
      </c>
      <c r="Y369">
        <f t="shared" si="17"/>
        <v>-24.91636520241174</v>
      </c>
    </row>
    <row r="370" spans="1:25">
      <c r="A370" s="3">
        <v>45279</v>
      </c>
      <c r="B370" s="1">
        <v>5477.3049999999976</v>
      </c>
      <c r="C370" s="1">
        <v>4020</v>
      </c>
      <c r="D370" s="1">
        <v>-1457.3049999999976</v>
      </c>
      <c r="E370" s="1">
        <v>2749.0499999999997</v>
      </c>
      <c r="F370" s="1">
        <v>4590</v>
      </c>
      <c r="G370" s="1">
        <v>1840.9500000000005</v>
      </c>
      <c r="H370" s="1">
        <v>89.95</v>
      </c>
      <c r="I370" s="1">
        <v>250</v>
      </c>
      <c r="J370" s="1">
        <v>160.05000000000001</v>
      </c>
      <c r="K370" s="1">
        <v>375</v>
      </c>
      <c r="L370" s="1">
        <v>480</v>
      </c>
      <c r="M370" s="1">
        <v>105</v>
      </c>
      <c r="N370" s="1">
        <v>2150</v>
      </c>
      <c r="O370" s="1">
        <v>9340</v>
      </c>
      <c r="P370" s="1">
        <v>648.69500000000266</v>
      </c>
      <c r="Q370" s="1">
        <v>-1501.3049999999971</v>
      </c>
      <c r="R370">
        <f>YEAR(tbl_daily[[#This Row],[Date]])</f>
        <v>2023</v>
      </c>
      <c r="S370" t="str">
        <f>TEXT(tbl_daily[[#This Row],[Date]],"mmmm")</f>
        <v>December</v>
      </c>
      <c r="T370">
        <f>MONTH(tbl_daily[[#This Row],[Date]])</f>
        <v>12</v>
      </c>
      <c r="U370" t="str">
        <f>"Q"&amp;ROUNDUP(MONTH(tbl_daily[[#This Row],[Date]])/3,0)</f>
        <v>Q4</v>
      </c>
      <c r="V370" t="str">
        <f>TEXT(tbl_daily[[#This Row],[Date]],"dddd")</f>
        <v>Tuesday</v>
      </c>
      <c r="W370" t="str">
        <f t="shared" si="15"/>
        <v>Loss</v>
      </c>
      <c r="X370">
        <f t="shared" si="16"/>
        <v>6.9453426124197293</v>
      </c>
      <c r="Y370">
        <f t="shared" si="17"/>
        <v>-16.073929336188407</v>
      </c>
    </row>
    <row r="371" spans="1:25">
      <c r="A371" s="3">
        <v>45280</v>
      </c>
      <c r="B371" s="1">
        <v>6686.8750000000009</v>
      </c>
      <c r="C371" s="1">
        <v>6530</v>
      </c>
      <c r="D371" s="1">
        <v>-156.87500000000091</v>
      </c>
      <c r="E371" s="1">
        <v>3129.8</v>
      </c>
      <c r="F371" s="1">
        <v>5840</v>
      </c>
      <c r="G371" s="1">
        <v>2710.2</v>
      </c>
      <c r="H371" s="1">
        <v>87.15</v>
      </c>
      <c r="I371" s="1">
        <v>0</v>
      </c>
      <c r="J371" s="1">
        <v>-87.15</v>
      </c>
      <c r="K371" s="1">
        <v>941.66666666666674</v>
      </c>
      <c r="L371" s="1">
        <v>1210</v>
      </c>
      <c r="M371" s="1">
        <v>268.33333333333326</v>
      </c>
      <c r="N371" s="1">
        <v>2150</v>
      </c>
      <c r="O371" s="1">
        <v>13580</v>
      </c>
      <c r="P371" s="1">
        <v>2734.5083333333323</v>
      </c>
      <c r="Q371" s="1">
        <v>584.5083333333323</v>
      </c>
      <c r="R371">
        <f>YEAR(tbl_daily[[#This Row],[Date]])</f>
        <v>2023</v>
      </c>
      <c r="S371" t="str">
        <f>TEXT(tbl_daily[[#This Row],[Date]],"mmmm")</f>
        <v>December</v>
      </c>
      <c r="T371">
        <f>MONTH(tbl_daily[[#This Row],[Date]])</f>
        <v>12</v>
      </c>
      <c r="U371" t="str">
        <f>"Q"&amp;ROUNDUP(MONTH(tbl_daily[[#This Row],[Date]])/3,0)</f>
        <v>Q4</v>
      </c>
      <c r="V371" t="str">
        <f>TEXT(tbl_daily[[#This Row],[Date]],"dddd")</f>
        <v>Wednesday</v>
      </c>
      <c r="W371" t="str">
        <f t="shared" si="15"/>
        <v>Profitable</v>
      </c>
      <c r="X371">
        <f t="shared" si="16"/>
        <v>20.136291114383891</v>
      </c>
      <c r="Y371">
        <f t="shared" si="17"/>
        <v>4.3041850760922848</v>
      </c>
    </row>
    <row r="372" spans="1:25">
      <c r="A372" s="3">
        <v>45281</v>
      </c>
      <c r="B372" s="1">
        <v>5881.7000000000007</v>
      </c>
      <c r="C372" s="1">
        <v>2910</v>
      </c>
      <c r="D372" s="1">
        <v>-2971.7000000000007</v>
      </c>
      <c r="E372" s="1">
        <v>2074.2999999999993</v>
      </c>
      <c r="F372" s="1">
        <v>2790</v>
      </c>
      <c r="G372" s="1">
        <v>715.70000000000073</v>
      </c>
      <c r="H372" s="1">
        <v>519.64999999999986</v>
      </c>
      <c r="I372" s="1">
        <v>250</v>
      </c>
      <c r="J372" s="1">
        <v>-269.64999999999986</v>
      </c>
      <c r="K372" s="1">
        <v>855</v>
      </c>
      <c r="L372" s="1">
        <v>1080</v>
      </c>
      <c r="M372" s="1">
        <v>225</v>
      </c>
      <c r="N372" s="1">
        <v>2150</v>
      </c>
      <c r="O372" s="1">
        <v>7030</v>
      </c>
      <c r="P372" s="1">
        <v>-2300.6499999999996</v>
      </c>
      <c r="Q372" s="1">
        <v>-4450.6499999999996</v>
      </c>
      <c r="R372">
        <f>YEAR(tbl_daily[[#This Row],[Date]])</f>
        <v>2023</v>
      </c>
      <c r="S372" t="str">
        <f>TEXT(tbl_daily[[#This Row],[Date]],"mmmm")</f>
        <v>December</v>
      </c>
      <c r="T372">
        <f>MONTH(tbl_daily[[#This Row],[Date]])</f>
        <v>12</v>
      </c>
      <c r="U372" t="str">
        <f>"Q"&amp;ROUNDUP(MONTH(tbl_daily[[#This Row],[Date]])/3,0)</f>
        <v>Q4</v>
      </c>
      <c r="V372" t="str">
        <f>TEXT(tbl_daily[[#This Row],[Date]],"dddd")</f>
        <v>Thursday</v>
      </c>
      <c r="W372" t="str">
        <f t="shared" si="15"/>
        <v>Loss</v>
      </c>
      <c r="X372">
        <f t="shared" si="16"/>
        <v>-32.726173541963007</v>
      </c>
      <c r="Y372">
        <f t="shared" si="17"/>
        <v>-63.309388335704121</v>
      </c>
    </row>
    <row r="373" spans="1:25">
      <c r="A373" s="3">
        <v>45282</v>
      </c>
      <c r="B373" s="1">
        <v>5368.0749999999962</v>
      </c>
      <c r="C373" s="1">
        <v>8360</v>
      </c>
      <c r="D373" s="1">
        <v>2991.9250000000038</v>
      </c>
      <c r="E373" s="1">
        <v>908.6500000000002</v>
      </c>
      <c r="F373" s="1">
        <v>1470</v>
      </c>
      <c r="G373" s="1">
        <v>561.3499999999998</v>
      </c>
      <c r="H373" s="1">
        <v>419.91000000000008</v>
      </c>
      <c r="I373" s="1">
        <v>980</v>
      </c>
      <c r="J373" s="1">
        <v>560.08999999999992</v>
      </c>
      <c r="K373" s="1">
        <v>378.33333333333326</v>
      </c>
      <c r="L373" s="1">
        <v>500</v>
      </c>
      <c r="M373" s="1">
        <v>121.66666666666669</v>
      </c>
      <c r="N373" s="1">
        <v>2150</v>
      </c>
      <c r="O373" s="1">
        <v>11310</v>
      </c>
      <c r="P373" s="1">
        <v>4235.0316666666704</v>
      </c>
      <c r="Q373" s="1">
        <v>2085.0316666666704</v>
      </c>
      <c r="R373">
        <f>YEAR(tbl_daily[[#This Row],[Date]])</f>
        <v>2023</v>
      </c>
      <c r="S373" t="str">
        <f>TEXT(tbl_daily[[#This Row],[Date]],"mmmm")</f>
        <v>December</v>
      </c>
      <c r="T373">
        <f>MONTH(tbl_daily[[#This Row],[Date]])</f>
        <v>12</v>
      </c>
      <c r="U373" t="str">
        <f>"Q"&amp;ROUNDUP(MONTH(tbl_daily[[#This Row],[Date]])/3,0)</f>
        <v>Q4</v>
      </c>
      <c r="V373" t="str">
        <f>TEXT(tbl_daily[[#This Row],[Date]],"dddd")</f>
        <v>Friday</v>
      </c>
      <c r="W373" t="str">
        <f t="shared" si="15"/>
        <v>Profitable</v>
      </c>
      <c r="X373">
        <f t="shared" si="16"/>
        <v>37.445019157088154</v>
      </c>
      <c r="Y373">
        <f t="shared" si="17"/>
        <v>18.435293250810524</v>
      </c>
    </row>
    <row r="374" spans="1:25">
      <c r="A374" s="3">
        <v>45283</v>
      </c>
      <c r="B374" s="1">
        <v>6608.3940000000048</v>
      </c>
      <c r="C374" s="1">
        <v>5250</v>
      </c>
      <c r="D374" s="1">
        <v>-1358.3940000000048</v>
      </c>
      <c r="E374" s="1">
        <v>1246.1499999999996</v>
      </c>
      <c r="F374" s="1">
        <v>2850</v>
      </c>
      <c r="G374" s="1">
        <v>1603.8500000000004</v>
      </c>
      <c r="H374" s="1">
        <v>0</v>
      </c>
      <c r="I374" s="1">
        <v>0</v>
      </c>
      <c r="J374" s="1">
        <v>0</v>
      </c>
      <c r="K374" s="1">
        <v>715</v>
      </c>
      <c r="L374" s="1">
        <v>910</v>
      </c>
      <c r="M374" s="1">
        <v>195</v>
      </c>
      <c r="N374" s="1">
        <v>2150</v>
      </c>
      <c r="O374" s="1">
        <v>9010</v>
      </c>
      <c r="P374" s="1">
        <v>440.45599999999558</v>
      </c>
      <c r="Q374" s="1">
        <v>-1709.5440000000044</v>
      </c>
      <c r="R374">
        <f>YEAR(tbl_daily[[#This Row],[Date]])</f>
        <v>2023</v>
      </c>
      <c r="S374" t="str">
        <f>TEXT(tbl_daily[[#This Row],[Date]],"mmmm")</f>
        <v>December</v>
      </c>
      <c r="T374">
        <f>MONTH(tbl_daily[[#This Row],[Date]])</f>
        <v>12</v>
      </c>
      <c r="U374" t="str">
        <f>"Q"&amp;ROUNDUP(MONTH(tbl_daily[[#This Row],[Date]])/3,0)</f>
        <v>Q4</v>
      </c>
      <c r="V374" t="str">
        <f>TEXT(tbl_daily[[#This Row],[Date]],"dddd")</f>
        <v>Saturday</v>
      </c>
      <c r="W374" t="str">
        <f t="shared" si="15"/>
        <v>Loss</v>
      </c>
      <c r="X374">
        <f t="shared" si="16"/>
        <v>4.8885238623750897</v>
      </c>
      <c r="Y374">
        <f t="shared" si="17"/>
        <v>-18.97385127635965</v>
      </c>
    </row>
    <row r="375" spans="1:25">
      <c r="A375" s="3">
        <v>45284</v>
      </c>
      <c r="B375" s="1">
        <v>5501.6559999999963</v>
      </c>
      <c r="C375" s="1">
        <v>3510</v>
      </c>
      <c r="D375" s="1">
        <v>-1991.6559999999963</v>
      </c>
      <c r="E375" s="1">
        <v>4225.55</v>
      </c>
      <c r="F375" s="1">
        <v>8400</v>
      </c>
      <c r="G375" s="1">
        <v>4174.45</v>
      </c>
      <c r="H375" s="1">
        <v>1455.24</v>
      </c>
      <c r="I375" s="1">
        <v>3050</v>
      </c>
      <c r="J375" s="1">
        <v>1594.76</v>
      </c>
      <c r="K375" s="1">
        <v>1856.6666666666663</v>
      </c>
      <c r="L375" s="1">
        <v>2340</v>
      </c>
      <c r="M375" s="1">
        <v>483.33333333333343</v>
      </c>
      <c r="N375" s="1">
        <v>2150</v>
      </c>
      <c r="O375" s="1">
        <v>17300</v>
      </c>
      <c r="P375" s="1">
        <v>4260.8873333333377</v>
      </c>
      <c r="Q375" s="1">
        <v>2110.8873333333377</v>
      </c>
      <c r="R375">
        <f>YEAR(tbl_daily[[#This Row],[Date]])</f>
        <v>2023</v>
      </c>
      <c r="S375" t="str">
        <f>TEXT(tbl_daily[[#This Row],[Date]],"mmmm")</f>
        <v>December</v>
      </c>
      <c r="T375">
        <f>MONTH(tbl_daily[[#This Row],[Date]])</f>
        <v>12</v>
      </c>
      <c r="U375" t="str">
        <f>"Q"&amp;ROUNDUP(MONTH(tbl_daily[[#This Row],[Date]])/3,0)</f>
        <v>Q4</v>
      </c>
      <c r="V375" t="str">
        <f>TEXT(tbl_daily[[#This Row],[Date]],"dddd")</f>
        <v>Sunday</v>
      </c>
      <c r="W375" t="str">
        <f t="shared" si="15"/>
        <v>Profitable</v>
      </c>
      <c r="X375">
        <f t="shared" si="16"/>
        <v>24.629406551059756</v>
      </c>
      <c r="Y375">
        <f t="shared" si="17"/>
        <v>12.201660886319871</v>
      </c>
    </row>
    <row r="376" spans="1:25">
      <c r="A376" s="3">
        <v>45285</v>
      </c>
      <c r="B376" s="1">
        <v>5369.7600000000011</v>
      </c>
      <c r="C376" s="1">
        <v>4340</v>
      </c>
      <c r="D376" s="1">
        <v>-1029.7600000000011</v>
      </c>
      <c r="E376" s="1">
        <v>1652.9</v>
      </c>
      <c r="F376" s="1">
        <v>3050</v>
      </c>
      <c r="G376" s="1">
        <v>1397.1</v>
      </c>
      <c r="H376" s="1">
        <v>108.43</v>
      </c>
      <c r="I376" s="1">
        <v>300</v>
      </c>
      <c r="J376" s="1">
        <v>191.57</v>
      </c>
      <c r="K376" s="1">
        <v>633.33333333333337</v>
      </c>
      <c r="L376" s="1">
        <v>830</v>
      </c>
      <c r="M376" s="1">
        <v>196.66666666666663</v>
      </c>
      <c r="N376" s="1">
        <v>2150</v>
      </c>
      <c r="O376" s="1">
        <v>8520</v>
      </c>
      <c r="P376" s="1">
        <v>755.57666666666557</v>
      </c>
      <c r="Q376" s="1">
        <v>-1394.4233333333343</v>
      </c>
      <c r="R376">
        <f>YEAR(tbl_daily[[#This Row],[Date]])</f>
        <v>2023</v>
      </c>
      <c r="S376" t="str">
        <f>TEXT(tbl_daily[[#This Row],[Date]],"mmmm")</f>
        <v>December</v>
      </c>
      <c r="T376">
        <f>MONTH(tbl_daily[[#This Row],[Date]])</f>
        <v>12</v>
      </c>
      <c r="U376" t="str">
        <f>"Q"&amp;ROUNDUP(MONTH(tbl_daily[[#This Row],[Date]])/3,0)</f>
        <v>Q4</v>
      </c>
      <c r="V376" t="str">
        <f>TEXT(tbl_daily[[#This Row],[Date]],"dddd")</f>
        <v>Monday</v>
      </c>
      <c r="W376" t="str">
        <f t="shared" si="15"/>
        <v>Loss</v>
      </c>
      <c r="X376">
        <f t="shared" si="16"/>
        <v>8.8682707355242432</v>
      </c>
      <c r="Y376">
        <f t="shared" si="17"/>
        <v>-16.366471048513315</v>
      </c>
    </row>
    <row r="377" spans="1:25">
      <c r="A377" s="3">
        <v>45286</v>
      </c>
      <c r="B377" s="1">
        <v>5218.0300000000007</v>
      </c>
      <c r="C377" s="1">
        <v>3570</v>
      </c>
      <c r="D377" s="1">
        <v>-1648.0300000000009</v>
      </c>
      <c r="E377" s="1">
        <v>1561.8</v>
      </c>
      <c r="F377" s="1">
        <v>2620</v>
      </c>
      <c r="G377" s="1">
        <v>1058.2</v>
      </c>
      <c r="H377" s="1">
        <v>208.54999999999995</v>
      </c>
      <c r="I377" s="1">
        <v>850</v>
      </c>
      <c r="J377" s="1">
        <v>641.45000000000005</v>
      </c>
      <c r="K377" s="1">
        <v>755</v>
      </c>
      <c r="L377" s="1">
        <v>960</v>
      </c>
      <c r="M377" s="1">
        <v>205</v>
      </c>
      <c r="N377" s="1">
        <v>2150</v>
      </c>
      <c r="O377" s="1">
        <v>8000</v>
      </c>
      <c r="P377" s="1">
        <v>256.61999999999944</v>
      </c>
      <c r="Q377" s="1">
        <v>-1893.3800000000008</v>
      </c>
      <c r="R377">
        <f>YEAR(tbl_daily[[#This Row],[Date]])</f>
        <v>2023</v>
      </c>
      <c r="S377" t="str">
        <f>TEXT(tbl_daily[[#This Row],[Date]],"mmmm")</f>
        <v>December</v>
      </c>
      <c r="T377">
        <f>MONTH(tbl_daily[[#This Row],[Date]])</f>
        <v>12</v>
      </c>
      <c r="U377" t="str">
        <f>"Q"&amp;ROUNDUP(MONTH(tbl_daily[[#This Row],[Date]])/3,0)</f>
        <v>Q4</v>
      </c>
      <c r="V377" t="str">
        <f>TEXT(tbl_daily[[#This Row],[Date]],"dddd")</f>
        <v>Tuesday</v>
      </c>
      <c r="W377" t="str">
        <f t="shared" si="15"/>
        <v>Loss</v>
      </c>
      <c r="X377">
        <f t="shared" si="16"/>
        <v>3.2077499999999932</v>
      </c>
      <c r="Y377">
        <f t="shared" si="17"/>
        <v>-23.66725000000001</v>
      </c>
    </row>
    <row r="378" spans="1:25">
      <c r="A378" s="3">
        <v>45287</v>
      </c>
      <c r="B378" s="1">
        <v>4454.614999999998</v>
      </c>
      <c r="C378" s="1">
        <v>4480</v>
      </c>
      <c r="D378" s="1">
        <v>25.385000000002037</v>
      </c>
      <c r="E378" s="1">
        <v>-134.60000000000008</v>
      </c>
      <c r="F378" s="1">
        <v>1770</v>
      </c>
      <c r="G378" s="1">
        <v>1904.6</v>
      </c>
      <c r="H378" s="1">
        <v>23</v>
      </c>
      <c r="I378" s="1">
        <v>400</v>
      </c>
      <c r="J378" s="1">
        <v>377</v>
      </c>
      <c r="K378" s="1">
        <v>1356.6666666666667</v>
      </c>
      <c r="L378" s="1">
        <v>1700</v>
      </c>
      <c r="M378" s="1">
        <v>343.33333333333326</v>
      </c>
      <c r="N378" s="1">
        <v>2150</v>
      </c>
      <c r="O378" s="1">
        <v>8350</v>
      </c>
      <c r="P378" s="1">
        <v>2650.318333333335</v>
      </c>
      <c r="Q378" s="1">
        <v>500.31833333333543</v>
      </c>
      <c r="R378">
        <f>YEAR(tbl_daily[[#This Row],[Date]])</f>
        <v>2023</v>
      </c>
      <c r="S378" t="str">
        <f>TEXT(tbl_daily[[#This Row],[Date]],"mmmm")</f>
        <v>December</v>
      </c>
      <c r="T378">
        <f>MONTH(tbl_daily[[#This Row],[Date]])</f>
        <v>12</v>
      </c>
      <c r="U378" t="str">
        <f>"Q"&amp;ROUNDUP(MONTH(tbl_daily[[#This Row],[Date]])/3,0)</f>
        <v>Q4</v>
      </c>
      <c r="V378" t="str">
        <f>TEXT(tbl_daily[[#This Row],[Date]],"dddd")</f>
        <v>Wednesday</v>
      </c>
      <c r="W378" t="str">
        <f t="shared" si="15"/>
        <v>Profitable</v>
      </c>
      <c r="X378">
        <f t="shared" si="16"/>
        <v>31.740339321357304</v>
      </c>
      <c r="Y378">
        <f t="shared" si="17"/>
        <v>5.9918363273453341</v>
      </c>
    </row>
    <row r="379" spans="1:25">
      <c r="A379" s="3">
        <v>45288</v>
      </c>
      <c r="B379" s="1">
        <v>4059.7200000000016</v>
      </c>
      <c r="C379" s="1">
        <v>2660</v>
      </c>
      <c r="D379" s="1">
        <v>-1399.7200000000016</v>
      </c>
      <c r="E379" s="1">
        <v>2232.6999999999998</v>
      </c>
      <c r="F379" s="1">
        <v>3970</v>
      </c>
      <c r="G379" s="1">
        <v>1737.3000000000002</v>
      </c>
      <c r="H379" s="1">
        <v>23</v>
      </c>
      <c r="I379" s="1">
        <v>400</v>
      </c>
      <c r="J379" s="1">
        <v>377</v>
      </c>
      <c r="K379" s="1">
        <v>831.66666666666674</v>
      </c>
      <c r="L379" s="1">
        <v>1070</v>
      </c>
      <c r="M379" s="1">
        <v>238.33333333333329</v>
      </c>
      <c r="N379" s="1">
        <v>2150</v>
      </c>
      <c r="O379" s="1">
        <v>8100</v>
      </c>
      <c r="P379" s="1">
        <v>952.91333333333182</v>
      </c>
      <c r="Q379" s="1">
        <v>-1197.0866666666682</v>
      </c>
      <c r="R379">
        <f>YEAR(tbl_daily[[#This Row],[Date]])</f>
        <v>2023</v>
      </c>
      <c r="S379" t="str">
        <f>TEXT(tbl_daily[[#This Row],[Date]],"mmmm")</f>
        <v>December</v>
      </c>
      <c r="T379">
        <f>MONTH(tbl_daily[[#This Row],[Date]])</f>
        <v>12</v>
      </c>
      <c r="U379" t="str">
        <f>"Q"&amp;ROUNDUP(MONTH(tbl_daily[[#This Row],[Date]])/3,0)</f>
        <v>Q4</v>
      </c>
      <c r="V379" t="str">
        <f>TEXT(tbl_daily[[#This Row],[Date]],"dddd")</f>
        <v>Thursday</v>
      </c>
      <c r="W379" t="str">
        <f t="shared" si="15"/>
        <v>Loss</v>
      </c>
      <c r="X379">
        <f t="shared" si="16"/>
        <v>11.764362139917676</v>
      </c>
      <c r="Y379">
        <f t="shared" si="17"/>
        <v>-14.778847736625533</v>
      </c>
    </row>
    <row r="380" spans="1:25">
      <c r="A380" s="3">
        <v>45289</v>
      </c>
      <c r="B380" s="1">
        <v>7201.4349999999986</v>
      </c>
      <c r="C380" s="1">
        <v>5290</v>
      </c>
      <c r="D380" s="1">
        <v>-1911.4349999999984</v>
      </c>
      <c r="E380" s="1">
        <v>3517.5</v>
      </c>
      <c r="F380" s="1">
        <v>7100</v>
      </c>
      <c r="G380" s="1">
        <v>3582.5</v>
      </c>
      <c r="H380" s="1">
        <v>23</v>
      </c>
      <c r="I380" s="1">
        <v>400</v>
      </c>
      <c r="J380" s="1">
        <v>377</v>
      </c>
      <c r="K380" s="1">
        <v>1031.6666666666663</v>
      </c>
      <c r="L380" s="1">
        <v>1370</v>
      </c>
      <c r="M380" s="1">
        <v>338.33333333333348</v>
      </c>
      <c r="N380" s="1">
        <v>2150</v>
      </c>
      <c r="O380" s="1">
        <v>14160</v>
      </c>
      <c r="P380" s="1">
        <v>2386.3983333333349</v>
      </c>
      <c r="Q380" s="1">
        <v>236.3983333333349</v>
      </c>
      <c r="R380">
        <f>YEAR(tbl_daily[[#This Row],[Date]])</f>
        <v>2023</v>
      </c>
      <c r="S380" t="str">
        <f>TEXT(tbl_daily[[#This Row],[Date]],"mmmm")</f>
        <v>December</v>
      </c>
      <c r="T380">
        <f>MONTH(tbl_daily[[#This Row],[Date]])</f>
        <v>12</v>
      </c>
      <c r="U380" t="str">
        <f>"Q"&amp;ROUNDUP(MONTH(tbl_daily[[#This Row],[Date]])/3,0)</f>
        <v>Q4</v>
      </c>
      <c r="V380" t="str">
        <f>TEXT(tbl_daily[[#This Row],[Date]],"dddd")</f>
        <v>Friday</v>
      </c>
      <c r="W380" t="str">
        <f t="shared" si="15"/>
        <v>Profitable</v>
      </c>
      <c r="X380">
        <f t="shared" si="16"/>
        <v>16.853095574387957</v>
      </c>
      <c r="Y380">
        <f t="shared" si="17"/>
        <v>1.6694797551789189</v>
      </c>
    </row>
    <row r="381" spans="1:25">
      <c r="A381" s="3">
        <v>45290</v>
      </c>
      <c r="B381" s="1">
        <v>6056.630000000001</v>
      </c>
      <c r="C381" s="1">
        <v>5560</v>
      </c>
      <c r="D381" s="1">
        <v>-496.63000000000102</v>
      </c>
      <c r="E381" s="1">
        <v>3637.4499999999994</v>
      </c>
      <c r="F381" s="1">
        <v>6700</v>
      </c>
      <c r="G381" s="1">
        <v>3062.5500000000006</v>
      </c>
      <c r="H381" s="1">
        <v>438.80000000000007</v>
      </c>
      <c r="I381" s="1">
        <v>250</v>
      </c>
      <c r="J381" s="1">
        <v>-188.80000000000007</v>
      </c>
      <c r="K381" s="1">
        <v>585</v>
      </c>
      <c r="L381" s="1">
        <v>790</v>
      </c>
      <c r="M381" s="1">
        <v>205</v>
      </c>
      <c r="N381" s="1">
        <v>2150</v>
      </c>
      <c r="O381" s="1">
        <v>13300</v>
      </c>
      <c r="P381" s="1">
        <v>2582.119999999999</v>
      </c>
      <c r="Q381" s="1">
        <v>432.11999999999944</v>
      </c>
      <c r="R381">
        <f>YEAR(tbl_daily[[#This Row],[Date]])</f>
        <v>2023</v>
      </c>
      <c r="S381" t="str">
        <f>TEXT(tbl_daily[[#This Row],[Date]],"mmmm")</f>
        <v>December</v>
      </c>
      <c r="T381">
        <f>MONTH(tbl_daily[[#This Row],[Date]])</f>
        <v>12</v>
      </c>
      <c r="U381" t="str">
        <f>"Q"&amp;ROUNDUP(MONTH(tbl_daily[[#This Row],[Date]])/3,0)</f>
        <v>Q4</v>
      </c>
      <c r="V381" t="str">
        <f>TEXT(tbl_daily[[#This Row],[Date]],"dddd")</f>
        <v>Saturday</v>
      </c>
      <c r="W381" t="str">
        <f t="shared" si="15"/>
        <v>Profitable</v>
      </c>
      <c r="X381">
        <f t="shared" si="16"/>
        <v>19.414436090225557</v>
      </c>
      <c r="Y381">
        <f t="shared" si="17"/>
        <v>3.2490225563909729</v>
      </c>
    </row>
    <row r="382" spans="1:25">
      <c r="A382" s="3">
        <v>45291</v>
      </c>
      <c r="B382" s="1">
        <v>1478.5649999999991</v>
      </c>
      <c r="C382" s="1">
        <v>9700</v>
      </c>
      <c r="D382" s="1">
        <v>8221.4350000000013</v>
      </c>
      <c r="E382" s="1">
        <v>-365.99999999999977</v>
      </c>
      <c r="F382" s="1">
        <v>2300</v>
      </c>
      <c r="G382" s="1">
        <v>2666</v>
      </c>
      <c r="H382" s="1">
        <v>122.74999999999993</v>
      </c>
      <c r="I382" s="1">
        <v>600</v>
      </c>
      <c r="J382" s="1">
        <v>477.25000000000006</v>
      </c>
      <c r="K382" s="1">
        <v>546.66666666666663</v>
      </c>
      <c r="L382" s="1">
        <v>700</v>
      </c>
      <c r="M382" s="1">
        <v>153.33333333333337</v>
      </c>
      <c r="N382" s="1">
        <v>2150</v>
      </c>
      <c r="O382" s="1">
        <v>13300</v>
      </c>
      <c r="P382" s="1">
        <v>11518.018333333335</v>
      </c>
      <c r="Q382" s="1">
        <v>9368.0183333333352</v>
      </c>
      <c r="R382">
        <f>YEAR(tbl_daily[[#This Row],[Date]])</f>
        <v>2023</v>
      </c>
      <c r="S382" t="str">
        <f>TEXT(tbl_daily[[#This Row],[Date]],"mmmm")</f>
        <v>December</v>
      </c>
      <c r="T382">
        <f>MONTH(tbl_daily[[#This Row],[Date]])</f>
        <v>12</v>
      </c>
      <c r="U382" t="str">
        <f>"Q"&amp;ROUNDUP(MONTH(tbl_daily[[#This Row],[Date]])/3,0)</f>
        <v>Q4</v>
      </c>
      <c r="V382" t="str">
        <f>TEXT(tbl_daily[[#This Row],[Date]],"dddd")</f>
        <v>Sunday</v>
      </c>
      <c r="W382" t="str">
        <f t="shared" si="15"/>
        <v>Profitable</v>
      </c>
      <c r="X382">
        <f t="shared" si="16"/>
        <v>86.601641604010041</v>
      </c>
      <c r="Y382">
        <f t="shared" si="17"/>
        <v>70.43622807017546</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
  <sheetViews>
    <sheetView workbookViewId="0">
      <selection activeCell="H19" sqref="H19"/>
    </sheetView>
  </sheetViews>
  <sheetFormatPr defaultRowHeight="15"/>
  <cols>
    <col min="1" max="1" width="35.28515625" customWidth="1"/>
    <col min="2" max="2" width="13.85546875" customWidth="1"/>
    <col min="4" max="4" width="27.140625" customWidth="1"/>
    <col min="5" max="5" width="12.5703125" customWidth="1"/>
  </cols>
  <sheetData>
    <row r="1" spans="1:5">
      <c r="A1" s="13" t="s">
        <v>446</v>
      </c>
      <c r="B1" s="13" t="s">
        <v>510</v>
      </c>
      <c r="C1" s="30"/>
      <c r="D1" s="30"/>
      <c r="E1" s="30"/>
    </row>
    <row r="2" spans="1:5">
      <c r="A2" s="18" t="s">
        <v>470</v>
      </c>
      <c r="B2" s="18">
        <f>SUMIFS(tbl_daily[Total_Daily_Sales],tbl_daily[Month],A2)</f>
        <v>368140</v>
      </c>
      <c r="C2" s="30"/>
      <c r="D2" s="41" t="s">
        <v>509</v>
      </c>
      <c r="E2" s="41"/>
    </row>
    <row r="3" spans="1:5">
      <c r="A3" s="18" t="s">
        <v>472</v>
      </c>
      <c r="B3" s="18">
        <f>SUMIFS(tbl_daily[Total_Daily_Sales],tbl_daily[Month],A3)</f>
        <v>272495</v>
      </c>
      <c r="C3" s="30"/>
      <c r="D3" s="18" t="s">
        <v>446</v>
      </c>
      <c r="E3" s="18" t="s">
        <v>478</v>
      </c>
    </row>
    <row r="4" spans="1:5">
      <c r="A4" s="18" t="s">
        <v>473</v>
      </c>
      <c r="B4" s="18">
        <f>SUMIFS(tbl_daily[Total_Daily_Sales],tbl_daily[Month],A4)</f>
        <v>301720</v>
      </c>
      <c r="C4" s="30"/>
      <c r="D4" s="18" t="s">
        <v>511</v>
      </c>
      <c r="E4" s="18">
        <f>VLOOKUP(E3,A2:B13,2,FALSE)</f>
        <v>552920</v>
      </c>
    </row>
    <row r="5" spans="1:5" ht="15" customHeight="1">
      <c r="A5" s="18" t="s">
        <v>474</v>
      </c>
      <c r="B5" s="18">
        <f>SUMIFS(tbl_daily[Total_Daily_Sales],tbl_daily[Month],A5)</f>
        <v>287200</v>
      </c>
      <c r="C5" s="30"/>
      <c r="D5" s="18"/>
      <c r="E5" s="18"/>
    </row>
    <row r="6" spans="1:5">
      <c r="A6" s="18" t="s">
        <v>475</v>
      </c>
      <c r="B6" s="18">
        <f>SUMIFS(tbl_daily[Total_Daily_Sales],tbl_daily[Month],A6)</f>
        <v>409160</v>
      </c>
      <c r="C6" s="30"/>
      <c r="D6" s="41" t="s">
        <v>512</v>
      </c>
      <c r="E6" s="41"/>
    </row>
    <row r="7" spans="1:5">
      <c r="A7" s="18" t="s">
        <v>476</v>
      </c>
      <c r="B7" s="18">
        <f>SUMIFS(tbl_daily[Total_Daily_Sales],tbl_daily[Month],A7)</f>
        <v>369535</v>
      </c>
      <c r="C7" s="30"/>
      <c r="D7" s="18" t="s">
        <v>513</v>
      </c>
      <c r="E7" s="18">
        <f>SUMIFS(tbl_daily[Total_Daily_Sales],tbl_daily[[Year ]],2023,tbl_daily[Month],"August")</f>
        <v>552920</v>
      </c>
    </row>
    <row r="8" spans="1:5">
      <c r="A8" s="18" t="s">
        <v>477</v>
      </c>
      <c r="B8" s="18">
        <f>SUMIFS(tbl_daily[Total_Daily_Sales],tbl_daily[Month],A8)</f>
        <v>370380</v>
      </c>
      <c r="C8" s="30"/>
      <c r="D8" s="18" t="s">
        <v>514</v>
      </c>
      <c r="E8" s="18">
        <f>SUMIFS(tbl_daily[Total_Daily_Sales],tbl_daily[Day_Name],"Friday")</f>
        <v>796385</v>
      </c>
    </row>
    <row r="9" spans="1:5">
      <c r="A9" s="18" t="s">
        <v>478</v>
      </c>
      <c r="B9" s="18">
        <f>SUMIFS(tbl_daily[Total_Daily_Sales],tbl_daily[Month],A9)</f>
        <v>552920</v>
      </c>
      <c r="C9" s="30"/>
      <c r="D9" s="18" t="s">
        <v>515</v>
      </c>
      <c r="E9" s="18">
        <f>SUMIFS(tbl_daily[Net_Profit],tbl_daily[[Year ]],2023,tbl_daily[Month],"August")</f>
        <v>103240.96916666668</v>
      </c>
    </row>
    <row r="10" spans="1:5">
      <c r="A10" s="18" t="s">
        <v>479</v>
      </c>
      <c r="B10" s="18">
        <f>SUMIFS(tbl_daily[Total_Daily_Sales],tbl_daily[Month],A10)</f>
        <v>540310</v>
      </c>
      <c r="C10" s="30"/>
      <c r="D10" s="18" t="s">
        <v>516</v>
      </c>
      <c r="E10" s="18">
        <f>SUMIFS(tbl_daily[Net_Profit],tbl_daily[Day_Name],"Friday")</f>
        <v>122936.85733333335</v>
      </c>
    </row>
    <row r="11" spans="1:5">
      <c r="A11" s="18" t="s">
        <v>480</v>
      </c>
      <c r="B11" s="18">
        <f>SUMIFS(tbl_daily[Total_Daily_Sales],tbl_daily[Month],A11)</f>
        <v>495990</v>
      </c>
      <c r="C11" s="30"/>
      <c r="D11" s="18"/>
      <c r="E11" s="18"/>
    </row>
    <row r="12" spans="1:5">
      <c r="A12" s="18" t="s">
        <v>481</v>
      </c>
      <c r="B12" s="18">
        <f>SUMIFS(tbl_daily[Total_Daily_Sales],tbl_daily[Month],A12)</f>
        <v>398215</v>
      </c>
      <c r="C12" s="30"/>
      <c r="D12" s="41" t="s">
        <v>517</v>
      </c>
      <c r="E12" s="41"/>
    </row>
    <row r="13" spans="1:5">
      <c r="A13" s="18" t="s">
        <v>471</v>
      </c>
      <c r="B13" s="18">
        <f>SUMIFS(tbl_daily[Total_Daily_Sales],tbl_daily[Month],A13)</f>
        <v>771170</v>
      </c>
      <c r="C13" s="30"/>
      <c r="D13" s="18" t="s">
        <v>518</v>
      </c>
      <c r="E13" s="18">
        <f>AVERAGEIFS(tbl_daily[Total_Daily_Sales],tbl_daily[[Year ]],2023,tbl_daily[Month],"August")</f>
        <v>17836.129032258064</v>
      </c>
    </row>
    <row r="14" spans="1:5">
      <c r="A14" s="42" t="s">
        <v>525</v>
      </c>
      <c r="B14" s="43"/>
      <c r="C14" s="30"/>
      <c r="D14" s="18" t="s">
        <v>519</v>
      </c>
      <c r="E14" s="18">
        <f>AVERAGEIFS(tbl_daily[Total_Daily_Sales],tbl_daily[Day_Name],"Friday")</f>
        <v>14479.727272727272</v>
      </c>
    </row>
    <row r="15" spans="1:5">
      <c r="A15" s="30" t="s">
        <v>530</v>
      </c>
      <c r="B15" s="18">
        <f>AVERAGEIFS(tbl_daily[Total_Daily_Sales],tbl_daily[[Year ]],2023,tbl_daily[Month],"August")</f>
        <v>17836.129032258064</v>
      </c>
      <c r="C15" s="30"/>
      <c r="D15" s="18" t="s">
        <v>520</v>
      </c>
      <c r="E15" s="30">
        <f>AVERAGEIFS(tbl_daily[Net_Profit],tbl_daily[Day_Name],"Friday")</f>
        <v>2235.215587878788</v>
      </c>
    </row>
    <row r="16" spans="1:5">
      <c r="A16" s="18" t="s">
        <v>526</v>
      </c>
      <c r="B16" s="18">
        <f>AVERAGE(tbl_daily[Total_Daily_Sales])</f>
        <v>13483.556430446195</v>
      </c>
      <c r="C16" s="30"/>
      <c r="D16" s="18"/>
      <c r="E16" s="30"/>
    </row>
    <row r="17" spans="1:5">
      <c r="A17" s="18" t="s">
        <v>527</v>
      </c>
      <c r="B17" s="18">
        <f>B15-B16</f>
        <v>4352.5726018118694</v>
      </c>
      <c r="C17" s="30"/>
      <c r="D17" s="41" t="s">
        <v>521</v>
      </c>
      <c r="E17" s="41"/>
    </row>
    <row r="18" spans="1:5">
      <c r="A18" s="30" t="s">
        <v>531</v>
      </c>
      <c r="B18" s="18">
        <f>AVERAGEIFS(tbl_daily[Net_Profit],tbl_daily[[Year ]],2023,tbl_daily[Month],"August")</f>
        <v>3330.353844086022</v>
      </c>
      <c r="C18" s="30"/>
      <c r="D18" s="40" t="s">
        <v>522</v>
      </c>
      <c r="E18" s="18">
        <f>SUMIFS(tbl_daily[Net_Profit],tbl_daily[[Year ]],2023,tbl_daily[Month],"August")</f>
        <v>103240.96916666668</v>
      </c>
    </row>
    <row r="19" spans="1:5">
      <c r="A19" s="18" t="s">
        <v>528</v>
      </c>
      <c r="B19" s="18">
        <f>AVERAGE(tbl_daily[Net_Profit])</f>
        <v>1669.6446224846877</v>
      </c>
      <c r="C19" s="30"/>
      <c r="D19" s="18" t="s">
        <v>523</v>
      </c>
      <c r="E19" s="18" t="str">
        <f>IF(E18&gt;0,"Profitable",IF(E18&lt;0,"Loss","Break-even"))</f>
        <v>Profitable</v>
      </c>
    </row>
    <row r="20" spans="1:5">
      <c r="A20" s="18" t="s">
        <v>529</v>
      </c>
      <c r="B20" s="30">
        <f>B18-B19</f>
        <v>1660.7092216013343</v>
      </c>
      <c r="C20" s="30"/>
      <c r="D20" s="18" t="s">
        <v>524</v>
      </c>
      <c r="E20" s="30" t="str">
        <f>IF(E18&gt;50000,"Excellent",IF(E18&gt;25000,"Good",IF(E18&gt;0,"Profitable","Loss")))</f>
        <v>Excellent</v>
      </c>
    </row>
  </sheetData>
  <mergeCells count="5">
    <mergeCell ref="D6:E6"/>
    <mergeCell ref="D2:E2"/>
    <mergeCell ref="D12:E12"/>
    <mergeCell ref="D17:E17"/>
    <mergeCell ref="A14:B1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52"/>
  <sheetViews>
    <sheetView topLeftCell="G1" zoomScale="70" zoomScaleNormal="70" workbookViewId="0">
      <selection activeCell="K26" sqref="K26"/>
    </sheetView>
  </sheetViews>
  <sheetFormatPr defaultRowHeight="15"/>
  <cols>
    <col min="1" max="1" width="19.28515625" bestFit="1" customWidth="1"/>
    <col min="2" max="2" width="17.7109375" bestFit="1" customWidth="1"/>
    <col min="3" max="3" width="20.140625" bestFit="1" customWidth="1"/>
    <col min="4" max="4" width="21.140625" bestFit="1" customWidth="1"/>
    <col min="5" max="5" width="22.85546875" bestFit="1" customWidth="1"/>
    <col min="6" max="7" width="21" bestFit="1" customWidth="1"/>
    <col min="8" max="8" width="27.7109375" bestFit="1" customWidth="1"/>
    <col min="9" max="9" width="18.85546875" bestFit="1" customWidth="1"/>
    <col min="10" max="10" width="26" bestFit="1" customWidth="1"/>
    <col min="11" max="11" width="23.42578125" bestFit="1" customWidth="1"/>
  </cols>
  <sheetData>
    <row r="3" spans="1:11">
      <c r="A3" s="7" t="s">
        <v>468</v>
      </c>
      <c r="B3" t="s">
        <v>482</v>
      </c>
      <c r="C3" t="s">
        <v>486</v>
      </c>
      <c r="D3" t="s">
        <v>487</v>
      </c>
      <c r="E3" t="s">
        <v>488</v>
      </c>
      <c r="F3" t="s">
        <v>489</v>
      </c>
      <c r="G3" t="s">
        <v>492</v>
      </c>
      <c r="H3" t="s">
        <v>490</v>
      </c>
      <c r="I3" t="s">
        <v>491</v>
      </c>
      <c r="J3" t="s">
        <v>493</v>
      </c>
      <c r="K3" t="s">
        <v>484</v>
      </c>
    </row>
    <row r="4" spans="1:11">
      <c r="A4" s="8">
        <v>2022</v>
      </c>
      <c r="B4" s="1">
        <v>413700</v>
      </c>
      <c r="C4" s="1">
        <v>213689.94499999998</v>
      </c>
      <c r="D4" s="1">
        <v>57805.95</v>
      </c>
      <c r="E4" s="1">
        <v>8838.159999999998</v>
      </c>
      <c r="F4" s="1">
        <v>18431.666666666668</v>
      </c>
      <c r="G4" s="1">
        <v>114934.27833333336</v>
      </c>
      <c r="H4" s="1">
        <v>63800</v>
      </c>
      <c r="I4" s="1">
        <v>51134.278333333335</v>
      </c>
      <c r="J4" s="1">
        <v>800.12323284793388</v>
      </c>
      <c r="K4" s="1">
        <v>316.86912293388292</v>
      </c>
    </row>
    <row r="5" spans="1:11">
      <c r="A5" s="9" t="s">
        <v>471</v>
      </c>
      <c r="B5" s="1">
        <v>413700</v>
      </c>
      <c r="C5" s="1">
        <v>213689.94499999998</v>
      </c>
      <c r="D5" s="1">
        <v>57805.95</v>
      </c>
      <c r="E5" s="1">
        <v>8838.159999999998</v>
      </c>
      <c r="F5" s="1">
        <v>18431.666666666668</v>
      </c>
      <c r="G5" s="1">
        <v>114934.27833333336</v>
      </c>
      <c r="H5" s="1">
        <v>63800</v>
      </c>
      <c r="I5" s="1">
        <v>51134.278333333335</v>
      </c>
      <c r="J5" s="1">
        <v>800.12323284793388</v>
      </c>
      <c r="K5" s="1">
        <v>316.86912293388292</v>
      </c>
    </row>
    <row r="6" spans="1:11">
      <c r="A6" s="8">
        <v>2023</v>
      </c>
      <c r="B6" s="1">
        <v>4723535</v>
      </c>
      <c r="C6" s="1">
        <v>1855519.878</v>
      </c>
      <c r="D6" s="1">
        <v>764545.19</v>
      </c>
      <c r="E6" s="1">
        <v>125345.3425</v>
      </c>
      <c r="F6" s="1">
        <v>599225</v>
      </c>
      <c r="G6" s="1">
        <v>1379416.9894999999</v>
      </c>
      <c r="H6" s="1">
        <v>794416.66666666663</v>
      </c>
      <c r="I6" s="1">
        <v>585000.3228333334</v>
      </c>
      <c r="J6" s="1">
        <v>9708.3517384674251</v>
      </c>
      <c r="K6" s="1">
        <v>2758.9640519165159</v>
      </c>
    </row>
    <row r="7" spans="1:11">
      <c r="A7" s="9" t="s">
        <v>470</v>
      </c>
      <c r="B7" s="1">
        <v>368140</v>
      </c>
      <c r="C7" s="1">
        <v>164610.87899999999</v>
      </c>
      <c r="D7" s="1">
        <v>56506.424999999988</v>
      </c>
      <c r="E7" s="1">
        <v>7122.91</v>
      </c>
      <c r="F7" s="1">
        <v>16822.5</v>
      </c>
      <c r="G7" s="1">
        <v>123077.28599999996</v>
      </c>
      <c r="H7" s="1">
        <v>76700</v>
      </c>
      <c r="I7" s="1">
        <v>46377.286000000007</v>
      </c>
      <c r="J7" s="1">
        <v>1013.6623672327825</v>
      </c>
      <c r="K7" s="1">
        <v>332.16157006143226</v>
      </c>
    </row>
    <row r="8" spans="1:11">
      <c r="A8" s="9" t="s">
        <v>472</v>
      </c>
      <c r="B8" s="1">
        <v>272495</v>
      </c>
      <c r="C8" s="1">
        <v>118797.51500000001</v>
      </c>
      <c r="D8" s="1">
        <v>42316.409999999996</v>
      </c>
      <c r="E8" s="1">
        <v>5325.75</v>
      </c>
      <c r="F8" s="1">
        <v>16164.166666666668</v>
      </c>
      <c r="G8" s="1">
        <v>89891.158333333326</v>
      </c>
      <c r="H8" s="1">
        <v>60200</v>
      </c>
      <c r="I8" s="1">
        <v>29691.158333333329</v>
      </c>
      <c r="J8" s="1">
        <v>845.01757019778074</v>
      </c>
      <c r="K8" s="1">
        <v>257.12771204009158</v>
      </c>
    </row>
    <row r="9" spans="1:11">
      <c r="A9" s="9" t="s">
        <v>473</v>
      </c>
      <c r="B9" s="1">
        <v>301720</v>
      </c>
      <c r="C9" s="1">
        <v>128587.94</v>
      </c>
      <c r="D9" s="1">
        <v>41529.9</v>
      </c>
      <c r="E9" s="1">
        <v>5290.66</v>
      </c>
      <c r="F9" s="1">
        <v>32897.499999999993</v>
      </c>
      <c r="G9" s="1">
        <v>93414.000000000015</v>
      </c>
      <c r="H9" s="1">
        <v>70733.333333333314</v>
      </c>
      <c r="I9" s="1">
        <v>22680.666666666679</v>
      </c>
      <c r="J9" s="1">
        <v>887.01392892040258</v>
      </c>
      <c r="K9" s="1">
        <v>6.7817920155603044</v>
      </c>
    </row>
    <row r="10" spans="1:11">
      <c r="A10" s="9" t="s">
        <v>474</v>
      </c>
      <c r="B10" s="1">
        <v>287200</v>
      </c>
      <c r="C10" s="1">
        <v>107287.50499999998</v>
      </c>
      <c r="D10" s="1">
        <v>41214.699999999997</v>
      </c>
      <c r="E10" s="1">
        <v>3910.8999999999996</v>
      </c>
      <c r="F10" s="1">
        <v>37793.333333333328</v>
      </c>
      <c r="G10" s="1">
        <v>96993.561666666676</v>
      </c>
      <c r="H10" s="1">
        <v>69499.999999999985</v>
      </c>
      <c r="I10" s="1">
        <v>27493.561666666676</v>
      </c>
      <c r="J10" s="1">
        <v>816.08625018027419</v>
      </c>
      <c r="K10" s="1">
        <v>-270.47674734040368</v>
      </c>
    </row>
    <row r="11" spans="1:11">
      <c r="A11" s="9" t="s">
        <v>475</v>
      </c>
      <c r="B11" s="1">
        <v>409160</v>
      </c>
      <c r="C11" s="1">
        <v>163830.80500000002</v>
      </c>
      <c r="D11" s="1">
        <v>59480.000000000007</v>
      </c>
      <c r="E11" s="1">
        <v>6421.0699999999988</v>
      </c>
      <c r="F11" s="1">
        <v>52989.166666666664</v>
      </c>
      <c r="G11" s="1">
        <v>126438.95833333331</v>
      </c>
      <c r="H11" s="1">
        <v>71816.666666666657</v>
      </c>
      <c r="I11" s="1">
        <v>54622.291666666672</v>
      </c>
      <c r="J11" s="1">
        <v>918.88275230329316</v>
      </c>
      <c r="K11" s="1">
        <v>347.39382197473896</v>
      </c>
    </row>
    <row r="12" spans="1:11">
      <c r="A12" s="9" t="s">
        <v>476</v>
      </c>
      <c r="B12" s="1">
        <v>369535</v>
      </c>
      <c r="C12" s="1">
        <v>141445.56999999998</v>
      </c>
      <c r="D12" s="1">
        <v>52793.700000000012</v>
      </c>
      <c r="E12" s="1">
        <v>5205.420000000001</v>
      </c>
      <c r="F12" s="1">
        <v>69663.333333333328</v>
      </c>
      <c r="G12" s="1">
        <v>100944.37666666666</v>
      </c>
      <c r="H12" s="1">
        <v>62549.999999999978</v>
      </c>
      <c r="I12" s="1">
        <v>38394.376666666671</v>
      </c>
      <c r="J12" s="1">
        <v>714.48882314458649</v>
      </c>
      <c r="K12" s="1">
        <v>232.77118318652234</v>
      </c>
    </row>
    <row r="13" spans="1:11">
      <c r="A13" s="9" t="s">
        <v>477</v>
      </c>
      <c r="B13" s="1">
        <v>370380</v>
      </c>
      <c r="C13" s="1">
        <v>124768.74599999998</v>
      </c>
      <c r="D13" s="1">
        <v>58350.820000000007</v>
      </c>
      <c r="E13" s="1">
        <v>2773.25</v>
      </c>
      <c r="F13" s="1">
        <v>62945</v>
      </c>
      <c r="G13" s="1">
        <v>121542.18400000001</v>
      </c>
      <c r="H13" s="1">
        <v>55599.999999999985</v>
      </c>
      <c r="I13" s="1">
        <v>65942.184000000008</v>
      </c>
      <c r="J13" s="1">
        <v>770.01221021929712</v>
      </c>
      <c r="K13" s="1">
        <v>398.3977451184665</v>
      </c>
    </row>
    <row r="14" spans="1:11">
      <c r="A14" s="9" t="s">
        <v>478</v>
      </c>
      <c r="B14" s="1">
        <v>552920</v>
      </c>
      <c r="C14" s="1">
        <v>178735.36500000002</v>
      </c>
      <c r="D14" s="1">
        <v>96430.699999999968</v>
      </c>
      <c r="E14" s="1">
        <v>4954.6324999999997</v>
      </c>
      <c r="F14" s="1">
        <v>100241.66666666667</v>
      </c>
      <c r="G14" s="1">
        <v>172557.63583333336</v>
      </c>
      <c r="H14" s="1">
        <v>69316.666666666672</v>
      </c>
      <c r="I14" s="1">
        <v>103240.96916666668</v>
      </c>
      <c r="J14" s="1">
        <v>946.35911795815434</v>
      </c>
      <c r="K14" s="1">
        <v>543.96367691825969</v>
      </c>
    </row>
    <row r="15" spans="1:11">
      <c r="A15" s="9" t="s">
        <v>479</v>
      </c>
      <c r="B15" s="1">
        <v>540310</v>
      </c>
      <c r="C15" s="1">
        <v>176421.35499999995</v>
      </c>
      <c r="D15" s="1">
        <v>96846.209999999992</v>
      </c>
      <c r="E15" s="1">
        <v>19343.919999999995</v>
      </c>
      <c r="F15" s="1">
        <v>85593.333333333343</v>
      </c>
      <c r="G15" s="1">
        <v>162105.18166666667</v>
      </c>
      <c r="H15" s="1">
        <v>60200</v>
      </c>
      <c r="I15" s="1">
        <v>101905.18166666667</v>
      </c>
      <c r="J15" s="1">
        <v>821.45887495461</v>
      </c>
      <c r="K15" s="1">
        <v>498.1316107770752</v>
      </c>
    </row>
    <row r="16" spans="1:11">
      <c r="A16" s="9" t="s">
        <v>480</v>
      </c>
      <c r="B16" s="1">
        <v>495990</v>
      </c>
      <c r="C16" s="1">
        <v>199937.38</v>
      </c>
      <c r="D16" s="1">
        <v>85069.865000000005</v>
      </c>
      <c r="E16" s="1">
        <v>27708</v>
      </c>
      <c r="F16" s="1">
        <v>53360.000000000007</v>
      </c>
      <c r="G16" s="1">
        <v>129914.75499999998</v>
      </c>
      <c r="H16" s="1">
        <v>66650</v>
      </c>
      <c r="I16" s="1">
        <v>63264.754999999983</v>
      </c>
      <c r="J16" s="1">
        <v>782.28543169207148</v>
      </c>
      <c r="K16" s="1">
        <v>348.19851763416438</v>
      </c>
    </row>
    <row r="17" spans="1:11">
      <c r="A17" s="9" t="s">
        <v>481</v>
      </c>
      <c r="B17" s="1">
        <v>398215</v>
      </c>
      <c r="C17" s="1">
        <v>177077.97500000001</v>
      </c>
      <c r="D17" s="1">
        <v>65912.72</v>
      </c>
      <c r="E17" s="1">
        <v>22687.890000000003</v>
      </c>
      <c r="F17" s="1">
        <v>42238.333333333328</v>
      </c>
      <c r="G17" s="1">
        <v>90298.081666666651</v>
      </c>
      <c r="H17" s="1">
        <v>64500</v>
      </c>
      <c r="I17" s="1">
        <v>25798.081666666672</v>
      </c>
      <c r="J17" s="1">
        <v>650.12484907584076</v>
      </c>
      <c r="K17" s="1">
        <v>135.13203942817529</v>
      </c>
    </row>
    <row r="18" spans="1:11">
      <c r="A18" s="9" t="s">
        <v>471</v>
      </c>
      <c r="B18" s="1">
        <v>357470</v>
      </c>
      <c r="C18" s="1">
        <v>174018.84299999999</v>
      </c>
      <c r="D18" s="1">
        <v>68093.740000000005</v>
      </c>
      <c r="E18" s="1">
        <v>14600.939999999997</v>
      </c>
      <c r="F18" s="1">
        <v>28516.666666666672</v>
      </c>
      <c r="G18" s="1">
        <v>72239.810333333342</v>
      </c>
      <c r="H18" s="1">
        <v>66650</v>
      </c>
      <c r="I18" s="1">
        <v>5589.8103333333383</v>
      </c>
      <c r="J18" s="1">
        <v>542.95956258832985</v>
      </c>
      <c r="K18" s="1">
        <v>-70.618869897567109</v>
      </c>
    </row>
    <row r="19" spans="1:11">
      <c r="A19" s="8" t="s">
        <v>469</v>
      </c>
      <c r="B19" s="1">
        <v>5137235</v>
      </c>
      <c r="C19" s="1">
        <v>2069209.8229999999</v>
      </c>
      <c r="D19" s="1">
        <v>822351.1399999999</v>
      </c>
      <c r="E19" s="1">
        <v>134183.50249999997</v>
      </c>
      <c r="F19" s="1">
        <v>617656.66666666674</v>
      </c>
      <c r="G19" s="1">
        <v>1494351.2678333332</v>
      </c>
      <c r="H19" s="1">
        <v>858216.66666666663</v>
      </c>
      <c r="I19" s="1">
        <v>636134.60116666672</v>
      </c>
      <c r="J19" s="1">
        <v>10508.474971315358</v>
      </c>
      <c r="K19" s="1">
        <v>3075.8331748503988</v>
      </c>
    </row>
    <row r="21" spans="1:11">
      <c r="A21" s="7" t="s">
        <v>449</v>
      </c>
      <c r="B21" t="s">
        <v>501</v>
      </c>
      <c r="C21" t="s">
        <v>502</v>
      </c>
      <c r="D21" t="s">
        <v>503</v>
      </c>
    </row>
    <row r="22" spans="1:11">
      <c r="A22" s="8" t="s">
        <v>494</v>
      </c>
      <c r="B22" s="1">
        <v>14049.074074074075</v>
      </c>
      <c r="C22" s="1">
        <v>4007.4123595679016</v>
      </c>
      <c r="D22" s="1">
        <v>1764.5111250000004</v>
      </c>
    </row>
    <row r="23" spans="1:11">
      <c r="A23" s="8" t="s">
        <v>495</v>
      </c>
      <c r="B23" s="1">
        <v>13009.454545454546</v>
      </c>
      <c r="C23" s="1">
        <v>3564.7823909090894</v>
      </c>
      <c r="D23" s="1">
        <v>1320.5399666666665</v>
      </c>
    </row>
    <row r="24" spans="1:11">
      <c r="A24" s="8" t="s">
        <v>496</v>
      </c>
      <c r="B24" s="1">
        <v>12551.09090909091</v>
      </c>
      <c r="C24" s="1">
        <v>3393.5442045454542</v>
      </c>
      <c r="D24" s="1">
        <v>1127.4835984848485</v>
      </c>
    </row>
    <row r="25" spans="1:11">
      <c r="A25" s="8" t="s">
        <v>497</v>
      </c>
      <c r="B25" s="1">
        <v>13148.181818181818</v>
      </c>
      <c r="C25" s="1">
        <v>4017.036298484848</v>
      </c>
      <c r="D25" s="1">
        <v>1750.9756924242422</v>
      </c>
    </row>
    <row r="26" spans="1:11">
      <c r="A26" s="8" t="s">
        <v>498</v>
      </c>
      <c r="B26" s="1">
        <v>12887.5</v>
      </c>
      <c r="C26" s="1">
        <v>3743.5400432098768</v>
      </c>
      <c r="D26" s="1">
        <v>1481.5030061728396</v>
      </c>
    </row>
    <row r="27" spans="1:11">
      <c r="A27" s="8" t="s">
        <v>499</v>
      </c>
      <c r="B27" s="1">
        <v>14479.727272727272</v>
      </c>
      <c r="C27" s="1">
        <v>4479.7610424242439</v>
      </c>
      <c r="D27" s="1">
        <v>2235.215587878788</v>
      </c>
    </row>
    <row r="28" spans="1:11">
      <c r="A28" s="8" t="s">
        <v>500</v>
      </c>
      <c r="B28" s="1">
        <v>14288.584905660377</v>
      </c>
      <c r="C28" s="1">
        <v>4259.7739921383636</v>
      </c>
      <c r="D28" s="1">
        <v>2018.264558176101</v>
      </c>
    </row>
    <row r="29" spans="1:11">
      <c r="A29" s="8" t="s">
        <v>469</v>
      </c>
      <c r="B29" s="1">
        <v>13483.556430446195</v>
      </c>
      <c r="C29" s="1">
        <v>3922.1818053368302</v>
      </c>
      <c r="D29" s="1">
        <v>1669.6446224846884</v>
      </c>
    </row>
    <row r="30" spans="1:11">
      <c r="A30" s="8"/>
      <c r="B30" s="1"/>
      <c r="C30" s="1"/>
      <c r="D30" s="1"/>
    </row>
    <row r="31" spans="1:11">
      <c r="A31" s="7" t="s">
        <v>450</v>
      </c>
      <c r="B31" t="s">
        <v>506</v>
      </c>
      <c r="C31" t="s">
        <v>482</v>
      </c>
      <c r="D31" t="s">
        <v>423</v>
      </c>
    </row>
    <row r="32" spans="1:11">
      <c r="A32" s="8" t="s">
        <v>504</v>
      </c>
      <c r="B32" s="1">
        <v>81</v>
      </c>
      <c r="C32" s="1">
        <v>697225</v>
      </c>
      <c r="D32" s="1">
        <v>-87312.866333333324</v>
      </c>
    </row>
    <row r="33" spans="1:5">
      <c r="A33" s="8" t="s">
        <v>505</v>
      </c>
      <c r="B33" s="1">
        <v>300</v>
      </c>
      <c r="C33" s="1">
        <v>4440010</v>
      </c>
      <c r="D33" s="1">
        <v>723447.46749999933</v>
      </c>
    </row>
    <row r="34" spans="1:5">
      <c r="A34" s="8" t="s">
        <v>469</v>
      </c>
      <c r="B34" s="1">
        <v>381</v>
      </c>
      <c r="C34" s="1">
        <v>5137235</v>
      </c>
      <c r="D34" s="1">
        <v>636134.60116666625</v>
      </c>
    </row>
    <row r="36" spans="1:5">
      <c r="A36" s="7" t="s">
        <v>507</v>
      </c>
      <c r="B36" t="s">
        <v>508</v>
      </c>
      <c r="C36" t="s">
        <v>482</v>
      </c>
      <c r="D36" t="s">
        <v>483</v>
      </c>
      <c r="E36" t="s">
        <v>423</v>
      </c>
    </row>
    <row r="37" spans="1:5">
      <c r="A37" s="8">
        <v>2022</v>
      </c>
      <c r="B37" s="1">
        <v>30</v>
      </c>
      <c r="C37" s="1">
        <v>413700</v>
      </c>
      <c r="D37" s="1">
        <v>114934.27833333336</v>
      </c>
      <c r="E37" s="1">
        <v>51134.278333333335</v>
      </c>
    </row>
    <row r="38" spans="1:5">
      <c r="A38" s="9" t="s">
        <v>471</v>
      </c>
      <c r="B38" s="1">
        <v>30</v>
      </c>
      <c r="C38" s="1">
        <v>413700</v>
      </c>
      <c r="D38" s="1">
        <v>114934.27833333336</v>
      </c>
      <c r="E38" s="1">
        <v>51134.278333333335</v>
      </c>
    </row>
    <row r="39" spans="1:5">
      <c r="A39" s="8">
        <v>2023</v>
      </c>
      <c r="B39" s="1">
        <v>351</v>
      </c>
      <c r="C39" s="1">
        <v>4723535</v>
      </c>
      <c r="D39" s="1">
        <v>1379416.9895000008</v>
      </c>
      <c r="E39" s="1">
        <v>585000.3228333327</v>
      </c>
    </row>
    <row r="40" spans="1:5">
      <c r="A40" s="9" t="s">
        <v>470</v>
      </c>
      <c r="B40" s="1">
        <v>31</v>
      </c>
      <c r="C40" s="1">
        <v>368140</v>
      </c>
      <c r="D40" s="1">
        <v>123077.28599999996</v>
      </c>
      <c r="E40" s="1">
        <v>46377.286000000007</v>
      </c>
    </row>
    <row r="41" spans="1:5">
      <c r="A41" s="9" t="s">
        <v>472</v>
      </c>
      <c r="B41" s="1">
        <v>26</v>
      </c>
      <c r="C41" s="1">
        <v>272495</v>
      </c>
      <c r="D41" s="1">
        <v>89891.158333333326</v>
      </c>
      <c r="E41" s="1">
        <v>29691.158333333329</v>
      </c>
    </row>
    <row r="42" spans="1:5">
      <c r="A42" s="9" t="s">
        <v>473</v>
      </c>
      <c r="B42" s="1">
        <v>31</v>
      </c>
      <c r="C42" s="1">
        <v>301720</v>
      </c>
      <c r="D42" s="1">
        <v>93414.000000000015</v>
      </c>
      <c r="E42" s="1">
        <v>22680.666666666679</v>
      </c>
    </row>
    <row r="43" spans="1:5">
      <c r="A43" s="9" t="s">
        <v>474</v>
      </c>
      <c r="B43" s="1">
        <v>30</v>
      </c>
      <c r="C43" s="1">
        <v>287200</v>
      </c>
      <c r="D43" s="1">
        <v>96993.561666666676</v>
      </c>
      <c r="E43" s="1">
        <v>27493.561666666676</v>
      </c>
    </row>
    <row r="44" spans="1:5">
      <c r="A44" s="9" t="s">
        <v>475</v>
      </c>
      <c r="B44" s="1">
        <v>31</v>
      </c>
      <c r="C44" s="1">
        <v>409160</v>
      </c>
      <c r="D44" s="1">
        <v>126438.95833333331</v>
      </c>
      <c r="E44" s="1">
        <v>54622.291666666672</v>
      </c>
    </row>
    <row r="45" spans="1:5">
      <c r="A45" s="9" t="s">
        <v>476</v>
      </c>
      <c r="B45" s="1">
        <v>27</v>
      </c>
      <c r="C45" s="1">
        <v>369535</v>
      </c>
      <c r="D45" s="1">
        <v>100944.37666666666</v>
      </c>
      <c r="E45" s="1">
        <v>38394.376666666671</v>
      </c>
    </row>
    <row r="46" spans="1:5">
      <c r="A46" s="9" t="s">
        <v>477</v>
      </c>
      <c r="B46" s="1">
        <v>24</v>
      </c>
      <c r="C46" s="1">
        <v>370380</v>
      </c>
      <c r="D46" s="1">
        <v>121542.18400000001</v>
      </c>
      <c r="E46" s="1">
        <v>65942.184000000008</v>
      </c>
    </row>
    <row r="47" spans="1:5">
      <c r="A47" s="9" t="s">
        <v>478</v>
      </c>
      <c r="B47" s="1">
        <v>31</v>
      </c>
      <c r="C47" s="1">
        <v>552920</v>
      </c>
      <c r="D47" s="1">
        <v>172557.63583333336</v>
      </c>
      <c r="E47" s="1">
        <v>103240.96916666668</v>
      </c>
    </row>
    <row r="48" spans="1:5">
      <c r="A48" s="9" t="s">
        <v>479</v>
      </c>
      <c r="B48" s="1">
        <v>28</v>
      </c>
      <c r="C48" s="1">
        <v>540310</v>
      </c>
      <c r="D48" s="1">
        <v>162105.18166666667</v>
      </c>
      <c r="E48" s="1">
        <v>101905.18166666667</v>
      </c>
    </row>
    <row r="49" spans="1:5">
      <c r="A49" s="9" t="s">
        <v>480</v>
      </c>
      <c r="B49" s="1">
        <v>31</v>
      </c>
      <c r="C49" s="1">
        <v>495990</v>
      </c>
      <c r="D49" s="1">
        <v>129914.75499999998</v>
      </c>
      <c r="E49" s="1">
        <v>63264.754999999983</v>
      </c>
    </row>
    <row r="50" spans="1:5">
      <c r="A50" s="9" t="s">
        <v>481</v>
      </c>
      <c r="B50" s="1">
        <v>30</v>
      </c>
      <c r="C50" s="1">
        <v>398215</v>
      </c>
      <c r="D50" s="1">
        <v>90298.081666666651</v>
      </c>
      <c r="E50" s="1">
        <v>25798.081666666672</v>
      </c>
    </row>
    <row r="51" spans="1:5">
      <c r="A51" s="9" t="s">
        <v>471</v>
      </c>
      <c r="B51" s="1">
        <v>31</v>
      </c>
      <c r="C51" s="1">
        <v>357470</v>
      </c>
      <c r="D51" s="1">
        <v>72239.810333333342</v>
      </c>
      <c r="E51" s="1">
        <v>5589.8103333333383</v>
      </c>
    </row>
    <row r="52" spans="1:5">
      <c r="A52" s="8" t="s">
        <v>469</v>
      </c>
      <c r="B52" s="1">
        <v>381</v>
      </c>
      <c r="C52" s="1">
        <v>5137235</v>
      </c>
      <c r="D52" s="1">
        <v>1494351.2678333339</v>
      </c>
      <c r="E52" s="1">
        <v>636134.60116666602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65"/>
  <sheetViews>
    <sheetView zoomScaleNormal="100" workbookViewId="0">
      <selection activeCell="E17" sqref="E17"/>
    </sheetView>
  </sheetViews>
  <sheetFormatPr defaultRowHeight="15"/>
  <cols>
    <col min="1" max="1" width="28" bestFit="1" customWidth="1"/>
    <col min="2" max="2" width="24.42578125" bestFit="1" customWidth="1"/>
    <col min="3" max="4" width="14.140625" customWidth="1"/>
    <col min="5" max="5" width="15.28515625" bestFit="1" customWidth="1"/>
    <col min="6" max="6" width="12" bestFit="1" customWidth="1"/>
    <col min="7" max="7" width="30.5703125" customWidth="1"/>
    <col min="8" max="8" width="15.7109375" bestFit="1" customWidth="1"/>
    <col min="9" max="9" width="19.28515625" bestFit="1" customWidth="1"/>
    <col min="10" max="10" width="9" customWidth="1"/>
  </cols>
  <sheetData>
    <row r="1" spans="1:31" ht="15" customHeight="1">
      <c r="A1" s="45" t="s">
        <v>532</v>
      </c>
      <c r="B1" s="45"/>
      <c r="C1" s="45"/>
      <c r="D1" s="45"/>
      <c r="E1" s="45"/>
      <c r="F1" s="45"/>
      <c r="G1" s="45"/>
      <c r="H1" s="45"/>
      <c r="I1" s="45"/>
      <c r="J1" s="34"/>
      <c r="K1" s="34"/>
      <c r="L1" s="34"/>
      <c r="M1" s="34"/>
      <c r="N1" s="34"/>
      <c r="O1" s="34"/>
      <c r="P1" s="34"/>
      <c r="Q1" s="34"/>
      <c r="R1" s="34"/>
      <c r="S1" s="34"/>
      <c r="T1" s="34"/>
      <c r="U1" s="34"/>
      <c r="V1" s="34"/>
      <c r="W1" s="34"/>
      <c r="X1" s="34"/>
    </row>
    <row r="2" spans="1:31" ht="15" customHeight="1">
      <c r="A2" s="45"/>
      <c r="B2" s="45"/>
      <c r="C2" s="45"/>
      <c r="D2" s="45"/>
      <c r="E2" s="45"/>
      <c r="F2" s="45"/>
      <c r="G2" s="45"/>
      <c r="H2" s="45"/>
      <c r="I2" s="45"/>
      <c r="J2" s="34"/>
      <c r="K2" s="34"/>
      <c r="L2" s="34"/>
      <c r="M2" s="34"/>
      <c r="N2" s="34"/>
      <c r="O2" s="34"/>
      <c r="P2" s="34"/>
      <c r="Q2" s="34"/>
      <c r="R2" s="34"/>
      <c r="S2" s="34"/>
      <c r="T2" s="34"/>
      <c r="U2" s="34"/>
      <c r="V2" s="34"/>
      <c r="W2" s="34"/>
      <c r="X2" s="34"/>
    </row>
    <row r="3" spans="1:31" ht="31.5">
      <c r="A3" s="44" t="s">
        <v>533</v>
      </c>
      <c r="B3" s="44"/>
      <c r="C3" s="44"/>
      <c r="D3" s="44"/>
      <c r="E3" s="44"/>
      <c r="F3" s="44"/>
      <c r="G3" s="44"/>
      <c r="H3" s="44"/>
      <c r="I3" s="44"/>
      <c r="J3" s="33"/>
      <c r="K3" s="33"/>
      <c r="L3" s="33"/>
      <c r="M3" s="33"/>
      <c r="N3" s="33"/>
      <c r="O3" s="33"/>
      <c r="P3" s="33"/>
      <c r="Q3" s="33"/>
      <c r="R3" s="33"/>
      <c r="S3" s="33"/>
      <c r="T3" s="33"/>
      <c r="U3" s="33"/>
      <c r="V3" s="33"/>
    </row>
    <row r="4" spans="1:31" ht="28.5">
      <c r="A4" s="12" t="s">
        <v>589</v>
      </c>
      <c r="B4" s="12" t="s">
        <v>534</v>
      </c>
      <c r="C4" s="46" t="s">
        <v>591</v>
      </c>
      <c r="D4" s="47"/>
      <c r="E4" s="47"/>
      <c r="F4" s="47"/>
      <c r="G4" s="47"/>
      <c r="H4" s="47"/>
      <c r="I4" s="48"/>
    </row>
    <row r="5" spans="1:31" ht="36" customHeight="1">
      <c r="A5" s="12" t="s">
        <v>535</v>
      </c>
      <c r="B5" s="39">
        <f>COUNTA(tbl_daily[Date])</f>
        <v>381</v>
      </c>
      <c r="C5" s="53" t="s">
        <v>546</v>
      </c>
      <c r="D5" s="53"/>
      <c r="E5" s="53"/>
      <c r="F5" s="53"/>
      <c r="G5" s="60" t="s">
        <v>592</v>
      </c>
      <c r="H5" s="60"/>
      <c r="I5" s="60"/>
    </row>
    <row r="6" spans="1:31" ht="18.75">
      <c r="A6" s="12" t="s">
        <v>510</v>
      </c>
      <c r="B6" s="23">
        <f>SUM(tbl_daily[Total_Daily_Sales])</f>
        <v>5137235</v>
      </c>
      <c r="C6" s="54" t="s">
        <v>547</v>
      </c>
      <c r="D6" s="54"/>
      <c r="E6" s="54"/>
      <c r="F6" s="54"/>
      <c r="G6" s="55" t="s">
        <v>548</v>
      </c>
      <c r="H6" s="55"/>
      <c r="I6" s="55"/>
    </row>
    <row r="7" spans="1:31" ht="18.75">
      <c r="A7" s="12" t="s">
        <v>406</v>
      </c>
      <c r="B7" s="24">
        <f>SUM(tbl_daily[Total Gross Profit])</f>
        <v>1494351.2678333339</v>
      </c>
      <c r="C7" s="54"/>
      <c r="D7" s="54"/>
      <c r="E7" s="54"/>
      <c r="F7" s="54"/>
      <c r="G7" s="55"/>
      <c r="H7" s="55"/>
      <c r="I7" s="55"/>
    </row>
    <row r="8" spans="1:31" ht="18.75">
      <c r="A8" s="12" t="s">
        <v>491</v>
      </c>
      <c r="B8" s="24">
        <f>SUM(tbl_daily[Net_Profit])</f>
        <v>636134.60116666602</v>
      </c>
      <c r="C8" s="54" t="s">
        <v>549</v>
      </c>
      <c r="D8" s="54"/>
      <c r="E8" s="54"/>
      <c r="F8" s="54"/>
      <c r="G8" s="52" t="s">
        <v>552</v>
      </c>
      <c r="H8" s="52"/>
      <c r="I8" s="52"/>
    </row>
    <row r="9" spans="1:31" ht="15" customHeight="1">
      <c r="A9" s="12" t="s">
        <v>536</v>
      </c>
      <c r="B9" s="25">
        <f>B7/B6</f>
        <v>0.29088629736294602</v>
      </c>
      <c r="C9" s="54"/>
      <c r="D9" s="54"/>
      <c r="E9" s="54"/>
      <c r="F9" s="54"/>
      <c r="G9" s="52"/>
      <c r="H9" s="52"/>
      <c r="I9" s="52"/>
      <c r="M9" s="11"/>
      <c r="N9" s="11"/>
      <c r="O9" s="11"/>
      <c r="P9" s="11"/>
      <c r="Q9" s="11"/>
      <c r="R9" s="11"/>
      <c r="S9" s="11"/>
      <c r="T9" s="11"/>
      <c r="U9" s="11"/>
      <c r="V9" s="11"/>
      <c r="W9" s="11"/>
      <c r="X9" s="11"/>
      <c r="Y9" s="11"/>
      <c r="Z9" s="11"/>
      <c r="AA9" s="11"/>
      <c r="AB9" s="11"/>
      <c r="AC9" s="11"/>
      <c r="AD9" s="11"/>
      <c r="AE9" s="11"/>
    </row>
    <row r="10" spans="1:31" ht="18.75">
      <c r="A10" s="12" t="s">
        <v>537</v>
      </c>
      <c r="B10" s="25">
        <f>B8/B6</f>
        <v>0.12382820742416223</v>
      </c>
      <c r="C10" s="54" t="s">
        <v>553</v>
      </c>
      <c r="D10" s="54"/>
      <c r="E10" s="54"/>
      <c r="F10" s="54"/>
      <c r="G10" s="55" t="s">
        <v>554</v>
      </c>
      <c r="H10" s="55"/>
      <c r="I10" s="55"/>
    </row>
    <row r="11" spans="1:31" ht="18.75">
      <c r="A11" s="12" t="s">
        <v>538</v>
      </c>
      <c r="B11" s="22">
        <f>COUNTIF(tbl_daily[Profit_Status],"Profitable")</f>
        <v>300</v>
      </c>
      <c r="C11" s="54"/>
      <c r="D11" s="54"/>
      <c r="E11" s="54"/>
      <c r="F11" s="54"/>
      <c r="G11" s="55"/>
      <c r="H11" s="55"/>
      <c r="I11" s="55"/>
    </row>
    <row r="12" spans="1:31" ht="18.75">
      <c r="A12" s="12" t="s">
        <v>539</v>
      </c>
      <c r="B12" s="22">
        <f>COUNTIF(tbl_daily[Profit_Status],"Loss")</f>
        <v>81</v>
      </c>
      <c r="C12" s="54" t="s">
        <v>555</v>
      </c>
      <c r="D12" s="54"/>
      <c r="E12" s="54"/>
      <c r="F12" s="54"/>
      <c r="G12" s="49" t="s">
        <v>556</v>
      </c>
      <c r="H12" s="50"/>
      <c r="I12" s="51"/>
    </row>
    <row r="13" spans="1:31" ht="18.75">
      <c r="A13" s="12" t="s">
        <v>540</v>
      </c>
      <c r="B13" s="25">
        <f>B11/B5</f>
        <v>0.78740157480314965</v>
      </c>
      <c r="C13" s="56" t="s">
        <v>557</v>
      </c>
      <c r="D13" s="56"/>
      <c r="E13" s="56"/>
      <c r="F13" s="56"/>
      <c r="G13" s="49" t="s">
        <v>558</v>
      </c>
      <c r="H13" s="50"/>
      <c r="I13" s="51"/>
      <c r="J13" s="36"/>
      <c r="K13" s="36"/>
    </row>
    <row r="14" spans="1:31" ht="31.5">
      <c r="A14" s="57" t="s">
        <v>587</v>
      </c>
      <c r="B14" s="57"/>
      <c r="C14" s="57"/>
      <c r="D14" s="57"/>
      <c r="E14" s="57"/>
      <c r="F14" s="57" t="s">
        <v>588</v>
      </c>
      <c r="G14" s="57"/>
      <c r="H14" s="57"/>
      <c r="I14" s="58"/>
      <c r="J14" s="37"/>
      <c r="K14" s="38"/>
    </row>
    <row r="15" spans="1:31">
      <c r="A15" s="13" t="s">
        <v>446</v>
      </c>
      <c r="B15" s="13" t="s">
        <v>482</v>
      </c>
      <c r="C15" s="13" t="s">
        <v>483</v>
      </c>
      <c r="D15" s="13" t="s">
        <v>423</v>
      </c>
      <c r="E15" s="13" t="s">
        <v>485</v>
      </c>
      <c r="F15" s="13" t="s">
        <v>544</v>
      </c>
      <c r="G15" s="13" t="s">
        <v>501</v>
      </c>
      <c r="H15" s="13" t="s">
        <v>502</v>
      </c>
      <c r="I15" s="13" t="s">
        <v>503</v>
      </c>
    </row>
    <row r="16" spans="1:31">
      <c r="A16" s="13" t="s">
        <v>470</v>
      </c>
      <c r="B16" s="19">
        <f>SUMIFS(tbl_daily[Total_Daily_Sales],tbl_daily[[Year ]],2023,tbl_daily[Month],A16)</f>
        <v>368140</v>
      </c>
      <c r="C16" s="20">
        <f>SUMIFS(tbl_daily[Total Gross Profit],tbl_daily[[Year ]],2023,tbl_daily[Month],A16)</f>
        <v>123077.28599999996</v>
      </c>
      <c r="D16" s="20">
        <f>SUMIFS(tbl_daily[Net_Profit],tbl_daily[[Year ]],2023,tbl_daily[Month],A16)</f>
        <v>46377.286000000007</v>
      </c>
      <c r="E16" s="21">
        <f>D16/B16</f>
        <v>0.12597730754604228</v>
      </c>
      <c r="F16" s="13" t="s">
        <v>494</v>
      </c>
      <c r="G16" s="20">
        <f>AVERAGEIFS(tbl_daily[Total_Daily_Sales],tbl_daily[Day_Name],F16)</f>
        <v>14049.074074074075</v>
      </c>
      <c r="H16" s="20">
        <f>AVERAGEIFS(tbl_daily[Total Gross Profit],tbl_daily[Day_Name],F16)</f>
        <v>4007.4123595679016</v>
      </c>
      <c r="I16" s="20">
        <f>AVERAGEIFS(tbl_daily[Net_Profit],tbl_daily[Day_Name],F16)</f>
        <v>1764.5111250000004</v>
      </c>
    </row>
    <row r="17" spans="1:9">
      <c r="A17" s="13" t="s">
        <v>472</v>
      </c>
      <c r="B17" s="19">
        <f>SUMIFS(tbl_daily[Total_Daily_Sales],tbl_daily[[Year ]],2023,tbl_daily[Month],A17)</f>
        <v>272495</v>
      </c>
      <c r="C17" s="20">
        <f>SUMIFS(tbl_daily[Total Gross Profit],tbl_daily[[Year ]],2023,tbl_daily[Month],A17)</f>
        <v>89891.158333333326</v>
      </c>
      <c r="D17" s="20">
        <f>SUMIFS(tbl_daily[Net_Profit],tbl_daily[[Year ]],2023,tbl_daily[Month],A17)</f>
        <v>29691.158333333329</v>
      </c>
      <c r="E17" s="21">
        <f t="shared" ref="E17:E27" si="0">D17/B17</f>
        <v>0.10896037847789254</v>
      </c>
      <c r="F17" s="13" t="s">
        <v>495</v>
      </c>
      <c r="G17" s="20">
        <f>AVERAGEIFS(tbl_daily[Total_Daily_Sales],tbl_daily[Day_Name],F17)</f>
        <v>13009.454545454546</v>
      </c>
      <c r="H17" s="20">
        <f>AVERAGEIFS(tbl_daily[Total Gross Profit],tbl_daily[Day_Name],F17)</f>
        <v>3564.7823909090894</v>
      </c>
      <c r="I17" s="20">
        <f>AVERAGEIFS(tbl_daily[Net_Profit],tbl_daily[Day_Name],F17)</f>
        <v>1320.5399666666665</v>
      </c>
    </row>
    <row r="18" spans="1:9">
      <c r="A18" s="13" t="s">
        <v>473</v>
      </c>
      <c r="B18" s="19">
        <f>SUMIFS(tbl_daily[Total_Daily_Sales],tbl_daily[[Year ]],2023,tbl_daily[Month],A18)</f>
        <v>301720</v>
      </c>
      <c r="C18" s="20">
        <f>SUMIFS(tbl_daily[Total Gross Profit],tbl_daily[[Year ]],2023,tbl_daily[Month],A18)</f>
        <v>93414.000000000015</v>
      </c>
      <c r="D18" s="20">
        <f>SUMIFS(tbl_daily[Net_Profit],tbl_daily[[Year ]],2023,tbl_daily[Month],A18)</f>
        <v>22680.666666666679</v>
      </c>
      <c r="E18" s="21">
        <f t="shared" si="0"/>
        <v>7.5171240443678511E-2</v>
      </c>
      <c r="F18" s="13" t="s">
        <v>496</v>
      </c>
      <c r="G18" s="20">
        <f>AVERAGEIFS(tbl_daily[Total_Daily_Sales],tbl_daily[Day_Name],F18)</f>
        <v>12551.09090909091</v>
      </c>
      <c r="H18" s="20">
        <f>AVERAGEIFS(tbl_daily[Total Gross Profit],tbl_daily[Day_Name],F18)</f>
        <v>3393.5442045454542</v>
      </c>
      <c r="I18" s="20">
        <f>AVERAGEIFS(tbl_daily[Net_Profit],tbl_daily[Day_Name],F18)</f>
        <v>1127.4835984848485</v>
      </c>
    </row>
    <row r="19" spans="1:9">
      <c r="A19" s="13" t="s">
        <v>474</v>
      </c>
      <c r="B19" s="19">
        <f>SUMIFS(tbl_daily[Total_Daily_Sales],tbl_daily[[Year ]],2023,tbl_daily[Month],A19)</f>
        <v>287200</v>
      </c>
      <c r="C19" s="20">
        <f>SUMIFS(tbl_daily[Total Gross Profit],tbl_daily[[Year ]],2023,tbl_daily[Month],A19)</f>
        <v>96993.561666666676</v>
      </c>
      <c r="D19" s="20">
        <f>SUMIFS(tbl_daily[Net_Profit],tbl_daily[[Year ]],2023,tbl_daily[Month],A19)</f>
        <v>27493.561666666676</v>
      </c>
      <c r="E19" s="21">
        <f t="shared" si="0"/>
        <v>9.5729671541318506E-2</v>
      </c>
      <c r="F19" s="13" t="s">
        <v>497</v>
      </c>
      <c r="G19" s="20">
        <f>AVERAGEIFS(tbl_daily[Total_Daily_Sales],tbl_daily[Day_Name],F19)</f>
        <v>13148.181818181818</v>
      </c>
      <c r="H19" s="20">
        <f>AVERAGEIFS(tbl_daily[Total Gross Profit],tbl_daily[Day_Name],F19)</f>
        <v>4017.036298484848</v>
      </c>
      <c r="I19" s="20">
        <f>AVERAGEIFS(tbl_daily[Net_Profit],tbl_daily[Day_Name],F19)</f>
        <v>1750.9756924242422</v>
      </c>
    </row>
    <row r="20" spans="1:9">
      <c r="A20" s="13" t="s">
        <v>475</v>
      </c>
      <c r="B20" s="19">
        <f>SUMIFS(tbl_daily[Total_Daily_Sales],tbl_daily[[Year ]],2023,tbl_daily[Month],A20)</f>
        <v>409160</v>
      </c>
      <c r="C20" s="20">
        <f>SUMIFS(tbl_daily[Total Gross Profit],tbl_daily[[Year ]],2023,tbl_daily[Month],A20)</f>
        <v>126438.95833333331</v>
      </c>
      <c r="D20" s="20">
        <f>SUMIFS(tbl_daily[Net_Profit],tbl_daily[[Year ]],2023,tbl_daily[Month],A20)</f>
        <v>54622.291666666672</v>
      </c>
      <c r="E20" s="21">
        <f t="shared" si="0"/>
        <v>0.13349861097533158</v>
      </c>
      <c r="F20" s="13" t="s">
        <v>498</v>
      </c>
      <c r="G20" s="20">
        <f>AVERAGEIFS(tbl_daily[Total_Daily_Sales],tbl_daily[Day_Name],F20)</f>
        <v>12887.5</v>
      </c>
      <c r="H20" s="20">
        <f>AVERAGEIFS(tbl_daily[Total Gross Profit],tbl_daily[Day_Name],F20)</f>
        <v>3743.5400432098768</v>
      </c>
      <c r="I20" s="20">
        <f>AVERAGEIFS(tbl_daily[Net_Profit],tbl_daily[Day_Name],F20)</f>
        <v>1481.5030061728396</v>
      </c>
    </row>
    <row r="21" spans="1:9">
      <c r="A21" s="13" t="s">
        <v>476</v>
      </c>
      <c r="B21" s="19">
        <f>SUMIFS(tbl_daily[Total_Daily_Sales],tbl_daily[[Year ]],2023,tbl_daily[Month],A21)</f>
        <v>369535</v>
      </c>
      <c r="C21" s="20">
        <f>SUMIFS(tbl_daily[Total Gross Profit],tbl_daily[[Year ]],2023,tbl_daily[Month],A21)</f>
        <v>100944.37666666666</v>
      </c>
      <c r="D21" s="20">
        <f>SUMIFS(tbl_daily[Net_Profit],tbl_daily[[Year ]],2023,tbl_daily[Month],A21)</f>
        <v>38394.376666666671</v>
      </c>
      <c r="E21" s="21">
        <f t="shared" si="0"/>
        <v>0.1038991615588961</v>
      </c>
      <c r="F21" s="13" t="s">
        <v>499</v>
      </c>
      <c r="G21" s="20">
        <f>AVERAGEIFS(tbl_daily[Total_Daily_Sales],tbl_daily[Day_Name],F21)</f>
        <v>14479.727272727272</v>
      </c>
      <c r="H21" s="20">
        <f>AVERAGEIFS(tbl_daily[Total Gross Profit],tbl_daily[Day_Name],F21)</f>
        <v>4479.7610424242439</v>
      </c>
      <c r="I21" s="20">
        <f>AVERAGEIFS(tbl_daily[Net_Profit],tbl_daily[Day_Name],F21)</f>
        <v>2235.215587878788</v>
      </c>
    </row>
    <row r="22" spans="1:9">
      <c r="A22" s="13" t="s">
        <v>477</v>
      </c>
      <c r="B22" s="19">
        <f>SUMIFS(tbl_daily[Total_Daily_Sales],tbl_daily[[Year ]],2023,tbl_daily[Month],A22)</f>
        <v>370380</v>
      </c>
      <c r="C22" s="20">
        <f>SUMIFS(tbl_daily[Total Gross Profit],tbl_daily[[Year ]],2023,tbl_daily[Month],A22)</f>
        <v>121542.18400000001</v>
      </c>
      <c r="D22" s="20">
        <f>SUMIFS(tbl_daily[Net_Profit],tbl_daily[[Year ]],2023,tbl_daily[Month],A22)</f>
        <v>65942.184000000008</v>
      </c>
      <c r="E22" s="21">
        <f t="shared" si="0"/>
        <v>0.17803926777903778</v>
      </c>
      <c r="F22" s="13" t="s">
        <v>500</v>
      </c>
      <c r="G22" s="20">
        <f>AVERAGEIFS(tbl_daily[Total_Daily_Sales],tbl_daily[Day_Name],F22)</f>
        <v>14288.584905660377</v>
      </c>
      <c r="H22" s="20">
        <f>AVERAGEIFS(tbl_daily[Total Gross Profit],tbl_daily[Day_Name],F22)</f>
        <v>4259.7739921383636</v>
      </c>
      <c r="I22" s="20">
        <f>AVERAGEIFS(tbl_daily[Net_Profit],tbl_daily[Day_Name],F22)</f>
        <v>2018.264558176101</v>
      </c>
    </row>
    <row r="23" spans="1:9" ht="15" customHeight="1">
      <c r="A23" s="13" t="s">
        <v>478</v>
      </c>
      <c r="B23" s="19">
        <f>SUMIFS(tbl_daily[Total_Daily_Sales],tbl_daily[[Year ]],2023,tbl_daily[Month],A23)</f>
        <v>552920</v>
      </c>
      <c r="C23" s="20">
        <f>SUMIFS(tbl_daily[Total Gross Profit],tbl_daily[[Year ]],2023,tbl_daily[Month],A23)</f>
        <v>172557.63583333336</v>
      </c>
      <c r="D23" s="20">
        <f>SUMIFS(tbl_daily[Net_Profit],tbl_daily[[Year ]],2023,tbl_daily[Month],A23)</f>
        <v>103240.96916666668</v>
      </c>
      <c r="E23" s="21">
        <f t="shared" si="0"/>
        <v>0.18671954200728258</v>
      </c>
      <c r="F23" s="59" t="s">
        <v>590</v>
      </c>
      <c r="G23" s="59"/>
      <c r="H23" s="59"/>
      <c r="I23" s="59"/>
    </row>
    <row r="24" spans="1:9">
      <c r="A24" s="13" t="s">
        <v>479</v>
      </c>
      <c r="B24" s="19">
        <f>SUMIFS(tbl_daily[Total_Daily_Sales],tbl_daily[[Year ]],2023,tbl_daily[Month],A24)</f>
        <v>540310</v>
      </c>
      <c r="C24" s="20">
        <f>SUMIFS(tbl_daily[Total Gross Profit],tbl_daily[[Year ]],2023,tbl_daily[Month],A24)</f>
        <v>162105.18166666667</v>
      </c>
      <c r="D24" s="20">
        <f>SUMIFS(tbl_daily[Net_Profit],tbl_daily[[Year ]],2023,tbl_daily[Month],A24)</f>
        <v>101905.18166666667</v>
      </c>
      <c r="E24" s="21">
        <f t="shared" si="0"/>
        <v>0.18860502612697649</v>
      </c>
      <c r="F24" s="13" t="s">
        <v>523</v>
      </c>
      <c r="G24" s="30" t="s">
        <v>538</v>
      </c>
      <c r="H24" s="30" t="s">
        <v>550</v>
      </c>
      <c r="I24" s="30" t="s">
        <v>551</v>
      </c>
    </row>
    <row r="25" spans="1:9">
      <c r="A25" s="13" t="s">
        <v>480</v>
      </c>
      <c r="B25" s="19">
        <f>SUMIFS(tbl_daily[Total_Daily_Sales],tbl_daily[[Year ]],2023,tbl_daily[Month],A25)</f>
        <v>495990</v>
      </c>
      <c r="C25" s="20">
        <f>SUMIFS(tbl_daily[Total Gross Profit],tbl_daily[[Year ]],2023,tbl_daily[Month],A25)</f>
        <v>129914.75499999998</v>
      </c>
      <c r="D25" s="20">
        <f>SUMIFS(tbl_daily[Net_Profit],tbl_daily[[Year ]],2023,tbl_daily[Month],A25)</f>
        <v>63264.754999999983</v>
      </c>
      <c r="E25" s="21">
        <f t="shared" si="0"/>
        <v>0.12755248089679225</v>
      </c>
      <c r="F25" s="13" t="s">
        <v>505</v>
      </c>
      <c r="G25" s="35">
        <f>COUNTIF(tbl_daily[Profit_Status],"Profitable")</f>
        <v>300</v>
      </c>
      <c r="H25" s="20">
        <f>SUMIFS(tbl_daily[Total_Daily_Sales],tbl_daily[Profit_Status],"Profitable")</f>
        <v>4440010</v>
      </c>
      <c r="I25" s="20">
        <f>SUMIFS(tbl_daily[Net_Profit],tbl_daily[Profit_Status],"Profitable")</f>
        <v>723447.46749999933</v>
      </c>
    </row>
    <row r="26" spans="1:9">
      <c r="A26" s="13" t="s">
        <v>481</v>
      </c>
      <c r="B26" s="19">
        <f>SUMIFS(tbl_daily[Total_Daily_Sales],tbl_daily[[Year ]],2023,tbl_daily[Month],A26)</f>
        <v>398215</v>
      </c>
      <c r="C26" s="20">
        <f>SUMIFS(tbl_daily[Total Gross Profit],tbl_daily[[Year ]],2023,tbl_daily[Month],A26)</f>
        <v>90298.081666666651</v>
      </c>
      <c r="D26" s="20">
        <f>SUMIFS(tbl_daily[Net_Profit],tbl_daily[[Year ]],2023,tbl_daily[Month],A26)</f>
        <v>25798.081666666672</v>
      </c>
      <c r="E26" s="21">
        <f t="shared" si="0"/>
        <v>6.478430412381922E-2</v>
      </c>
      <c r="F26" s="13" t="s">
        <v>504</v>
      </c>
      <c r="G26" s="35">
        <f>COUNTIF(tbl_daily[Profit_Status],"Loss")</f>
        <v>81</v>
      </c>
      <c r="H26" s="20">
        <f>SUMIFS(tbl_daily[Total_Daily_Sales],tbl_daily[Profit_Status],"Loss")</f>
        <v>697225</v>
      </c>
      <c r="I26" s="20">
        <f>SUMIFS(tbl_daily[Net_Profit],tbl_daily[Profit_Status],"Loss")</f>
        <v>-87312.866333333324</v>
      </c>
    </row>
    <row r="27" spans="1:9">
      <c r="A27" s="13" t="s">
        <v>471</v>
      </c>
      <c r="B27" s="19">
        <f>SUMIFS(tbl_daily[Total_Daily_Sales],tbl_daily[[Year ]],2023,tbl_daily[Month],A27)</f>
        <v>357470</v>
      </c>
      <c r="C27" s="20">
        <f>SUMIFS(tbl_daily[Total Gross Profit],tbl_daily[[Year ]],2023,tbl_daily[Month],A27)</f>
        <v>72239.810333333342</v>
      </c>
      <c r="D27" s="20">
        <f>SUMIFS(tbl_daily[Net_Profit],tbl_daily[[Year ]],2023,tbl_daily[Month],A27)</f>
        <v>5589.8103333333383</v>
      </c>
      <c r="E27" s="21">
        <f t="shared" si="0"/>
        <v>1.5637145308231008E-2</v>
      </c>
      <c r="F27" s="13" t="s">
        <v>545</v>
      </c>
      <c r="G27" s="35">
        <f>SUM(G25:G26)</f>
        <v>381</v>
      </c>
      <c r="H27" s="20">
        <f>SUM(H25:H26)</f>
        <v>5137235</v>
      </c>
      <c r="I27" s="20">
        <f>SUM(I25:I26)</f>
        <v>636134.60116666602</v>
      </c>
    </row>
    <row r="30" spans="1:9">
      <c r="E30" s="6"/>
    </row>
    <row r="31" spans="1:9">
      <c r="E31" s="6"/>
    </row>
    <row r="32" spans="1:9">
      <c r="E32" s="6"/>
    </row>
    <row r="33" spans="1:5">
      <c r="E33" s="6"/>
    </row>
    <row r="34" spans="1:5">
      <c r="E34" s="6"/>
    </row>
    <row r="35" spans="1:5">
      <c r="E35" s="6"/>
    </row>
    <row r="36" spans="1:5">
      <c r="E36" s="6"/>
    </row>
    <row r="37" spans="1:5">
      <c r="E37" s="6"/>
    </row>
    <row r="38" spans="1:5">
      <c r="E38" s="6"/>
    </row>
    <row r="39" spans="1:5">
      <c r="A39" s="6"/>
      <c r="B39" s="6"/>
      <c r="C39" s="6"/>
      <c r="D39" s="6"/>
      <c r="E39" s="6"/>
    </row>
    <row r="40" spans="1:5">
      <c r="A40" s="6"/>
      <c r="B40" s="6"/>
      <c r="C40" s="6"/>
      <c r="D40" s="6"/>
      <c r="E40" s="6"/>
    </row>
    <row r="41" spans="1:5">
      <c r="E41" s="6"/>
    </row>
    <row r="42" spans="1:5">
      <c r="E42" s="6"/>
    </row>
    <row r="43" spans="1:5">
      <c r="E43" s="6"/>
    </row>
    <row r="44" spans="1:5">
      <c r="E44" s="6"/>
    </row>
    <row r="45" spans="1:5">
      <c r="E45" s="6"/>
    </row>
    <row r="48" spans="1:5" ht="28.5">
      <c r="C48" s="15"/>
    </row>
    <row r="49" spans="1:9">
      <c r="D49" s="10"/>
      <c r="E49" s="10"/>
      <c r="F49" s="10"/>
      <c r="G49" s="10"/>
      <c r="H49" s="10"/>
      <c r="I49" s="10"/>
    </row>
    <row r="50" spans="1:9" ht="30" customHeight="1">
      <c r="C50" s="16"/>
      <c r="D50" s="16"/>
      <c r="E50" s="16"/>
      <c r="F50" s="16"/>
      <c r="G50" s="16"/>
      <c r="H50" s="16"/>
    </row>
    <row r="51" spans="1:9">
      <c r="C51" s="17"/>
      <c r="D51" s="17"/>
      <c r="E51" s="17"/>
      <c r="F51" s="17"/>
      <c r="G51" s="17"/>
      <c r="H51" s="17"/>
    </row>
    <row r="54" spans="1:9">
      <c r="I54" s="14"/>
    </row>
    <row r="58" spans="1:9">
      <c r="A58" s="14"/>
      <c r="B58" s="14"/>
      <c r="C58" s="14"/>
      <c r="D58" s="14"/>
      <c r="E58" s="14"/>
      <c r="F58" s="14"/>
      <c r="G58" s="14"/>
    </row>
    <row r="59" spans="1:9">
      <c r="A59" s="10"/>
      <c r="B59" s="10"/>
      <c r="C59" s="10"/>
      <c r="D59" s="10"/>
      <c r="E59" s="10"/>
      <c r="F59" s="10"/>
      <c r="G59" s="10"/>
    </row>
    <row r="61" spans="1:9">
      <c r="A61" s="14"/>
      <c r="B61" s="14"/>
      <c r="C61" s="14"/>
      <c r="D61" s="14"/>
      <c r="E61" s="14"/>
      <c r="F61" s="14"/>
      <c r="G61" s="14"/>
    </row>
    <row r="62" spans="1:9">
      <c r="A62" s="10"/>
      <c r="B62" s="10"/>
      <c r="C62" s="10"/>
      <c r="D62" s="10"/>
      <c r="E62" s="10"/>
      <c r="F62" s="10"/>
      <c r="G62" s="10"/>
    </row>
    <row r="64" spans="1:9">
      <c r="A64" s="14"/>
      <c r="B64" s="14"/>
      <c r="C64" s="14"/>
      <c r="D64" s="14"/>
      <c r="E64" s="14"/>
      <c r="F64" s="14"/>
      <c r="G64" s="14"/>
    </row>
    <row r="65" spans="1:7">
      <c r="A65" s="10"/>
      <c r="B65" s="10"/>
      <c r="C65" s="10"/>
      <c r="D65" s="10"/>
      <c r="E65" s="10"/>
      <c r="F65" s="10"/>
      <c r="G65" s="10"/>
    </row>
  </sheetData>
  <mergeCells count="18">
    <mergeCell ref="A14:E14"/>
    <mergeCell ref="F14:I14"/>
    <mergeCell ref="F23:I23"/>
    <mergeCell ref="G5:I5"/>
    <mergeCell ref="G6:I7"/>
    <mergeCell ref="A3:I3"/>
    <mergeCell ref="A1:I2"/>
    <mergeCell ref="C4:I4"/>
    <mergeCell ref="G12:I12"/>
    <mergeCell ref="G13:I13"/>
    <mergeCell ref="G8:I9"/>
    <mergeCell ref="C5:F5"/>
    <mergeCell ref="C6:F7"/>
    <mergeCell ref="C8:F9"/>
    <mergeCell ref="C10:F11"/>
    <mergeCell ref="G10:I11"/>
    <mergeCell ref="C12:F12"/>
    <mergeCell ref="C13:F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6"/>
  <sheetViews>
    <sheetView zoomScale="85" zoomScaleNormal="85" workbookViewId="0">
      <selection activeCell="O13" sqref="O13"/>
    </sheetView>
  </sheetViews>
  <sheetFormatPr defaultRowHeight="15"/>
  <cols>
    <col min="1" max="1" width="14.28515625" customWidth="1"/>
    <col min="2" max="2" width="13.140625" customWidth="1"/>
    <col min="3" max="4" width="14.42578125" customWidth="1"/>
    <col min="7" max="7" width="9.140625" customWidth="1"/>
  </cols>
  <sheetData>
    <row r="1" spans="1:25" ht="21">
      <c r="A1" s="61" t="s">
        <v>559</v>
      </c>
      <c r="B1" s="61"/>
      <c r="C1" s="61"/>
      <c r="D1" s="61"/>
      <c r="E1" s="61"/>
      <c r="F1" s="61"/>
      <c r="G1" s="61"/>
      <c r="H1" s="61"/>
      <c r="I1" s="61"/>
      <c r="J1" s="61"/>
      <c r="K1" s="61"/>
      <c r="L1" s="61"/>
      <c r="M1" s="26"/>
      <c r="N1" s="26"/>
      <c r="O1" s="26"/>
      <c r="P1" s="26"/>
      <c r="Q1" s="26"/>
      <c r="R1" s="26"/>
      <c r="S1" s="26"/>
      <c r="T1" s="26"/>
      <c r="U1" s="26"/>
      <c r="V1" s="26"/>
      <c r="W1" s="26"/>
      <c r="X1" s="26"/>
      <c r="Y1" s="26"/>
    </row>
    <row r="2" spans="1:25" ht="18.75">
      <c r="A2" s="44" t="s">
        <v>560</v>
      </c>
      <c r="B2" s="44"/>
      <c r="C2" s="44"/>
      <c r="D2" s="44"/>
      <c r="E2" s="44"/>
      <c r="F2" s="44"/>
      <c r="G2" s="44"/>
      <c r="H2" s="44"/>
      <c r="I2" s="44"/>
      <c r="J2" s="44"/>
      <c r="K2" s="44"/>
      <c r="L2" s="44"/>
      <c r="M2" s="27"/>
      <c r="N2" s="27"/>
      <c r="O2" s="27"/>
      <c r="P2" s="27"/>
      <c r="Q2" s="27"/>
      <c r="R2" s="27"/>
      <c r="S2" s="27"/>
      <c r="T2" s="27"/>
      <c r="U2" s="27"/>
      <c r="V2" s="27"/>
      <c r="W2" s="27"/>
      <c r="X2" s="27"/>
      <c r="Y2" s="27"/>
    </row>
    <row r="3" spans="1:25">
      <c r="A3" s="62" t="s">
        <v>561</v>
      </c>
      <c r="B3" s="62"/>
      <c r="C3" s="62"/>
      <c r="D3" s="62"/>
      <c r="E3" s="62"/>
      <c r="F3" s="62"/>
      <c r="G3" s="62"/>
      <c r="H3" s="62"/>
      <c r="I3" s="62"/>
      <c r="J3" s="62"/>
      <c r="K3" s="62"/>
      <c r="L3" s="62"/>
      <c r="M3" s="28"/>
      <c r="N3" s="28"/>
      <c r="O3" s="28"/>
      <c r="P3" s="28"/>
      <c r="Q3" s="28"/>
      <c r="R3" s="28"/>
      <c r="S3" s="28"/>
      <c r="T3" s="28"/>
      <c r="U3" s="28"/>
      <c r="V3" s="28"/>
      <c r="W3" s="28"/>
      <c r="X3" s="28"/>
      <c r="Y3" s="28"/>
    </row>
    <row r="4" spans="1:25">
      <c r="A4" s="32"/>
      <c r="B4" s="32"/>
      <c r="C4" s="32"/>
      <c r="D4" s="32"/>
      <c r="E4" s="32"/>
      <c r="F4" s="32"/>
      <c r="G4" s="32"/>
      <c r="H4" s="32"/>
      <c r="I4" s="32"/>
      <c r="J4" s="32"/>
      <c r="K4" s="32"/>
      <c r="L4" s="32"/>
    </row>
    <row r="5" spans="1:25" ht="15" customHeight="1">
      <c r="A5" s="44" t="s">
        <v>562</v>
      </c>
      <c r="B5" s="44"/>
      <c r="C5" s="44" t="s">
        <v>564</v>
      </c>
      <c r="D5" s="44"/>
      <c r="E5" s="44" t="s">
        <v>566</v>
      </c>
      <c r="F5" s="44"/>
      <c r="G5" s="44" t="s">
        <v>568</v>
      </c>
      <c r="H5" s="44"/>
      <c r="I5" s="65" t="s">
        <v>569</v>
      </c>
      <c r="J5" s="65"/>
      <c r="K5" s="69" t="s">
        <v>571</v>
      </c>
      <c r="L5" s="69"/>
    </row>
    <row r="6" spans="1:25" ht="15" customHeight="1">
      <c r="A6" s="44" t="s">
        <v>563</v>
      </c>
      <c r="B6" s="44"/>
      <c r="C6" s="44" t="s">
        <v>565</v>
      </c>
      <c r="D6" s="44"/>
      <c r="E6" s="44" t="s">
        <v>567</v>
      </c>
      <c r="F6" s="44"/>
      <c r="G6" s="68">
        <v>0.12379999999999999</v>
      </c>
      <c r="H6" s="44"/>
      <c r="I6" s="59" t="s">
        <v>570</v>
      </c>
      <c r="J6" s="59"/>
      <c r="K6" s="70">
        <v>0.78739999999999999</v>
      </c>
      <c r="L6" s="59"/>
    </row>
    <row r="7" spans="1:25" ht="15" customHeight="1">
      <c r="A7" s="44"/>
      <c r="B7" s="44"/>
      <c r="C7" s="44"/>
      <c r="D7" s="44"/>
      <c r="E7" s="44"/>
      <c r="F7" s="44"/>
      <c r="G7" s="44"/>
      <c r="H7" s="44"/>
      <c r="I7" s="59"/>
      <c r="J7" s="59"/>
      <c r="K7" s="59"/>
      <c r="L7" s="59"/>
    </row>
    <row r="8" spans="1:25" ht="15" customHeight="1">
      <c r="A8" s="44"/>
      <c r="B8" s="44"/>
      <c r="C8" s="44"/>
      <c r="D8" s="44"/>
      <c r="E8" s="44"/>
      <c r="F8" s="44"/>
      <c r="G8" s="44"/>
      <c r="H8" s="44"/>
      <c r="I8" s="59"/>
      <c r="J8" s="59"/>
      <c r="K8" s="59"/>
      <c r="L8" s="59"/>
    </row>
    <row r="9" spans="1:25" ht="26.25">
      <c r="A9" s="71" t="s">
        <v>541</v>
      </c>
      <c r="B9" s="71"/>
      <c r="C9" s="71"/>
      <c r="D9" s="71"/>
      <c r="E9" s="71"/>
      <c r="F9" s="67" t="s">
        <v>572</v>
      </c>
      <c r="G9" s="67"/>
      <c r="H9" s="67"/>
      <c r="I9" s="67"/>
      <c r="J9" s="67"/>
      <c r="K9" s="67"/>
      <c r="L9" s="67"/>
    </row>
    <row r="10" spans="1:25">
      <c r="A10" s="64" t="s">
        <v>542</v>
      </c>
      <c r="B10" s="64"/>
      <c r="C10" s="64"/>
      <c r="D10" s="64"/>
      <c r="E10" s="64"/>
      <c r="F10" s="66" t="s">
        <v>586</v>
      </c>
      <c r="G10" s="66"/>
      <c r="H10" s="66"/>
      <c r="I10" s="66"/>
      <c r="J10" s="66"/>
      <c r="K10" s="66"/>
      <c r="L10" s="66"/>
    </row>
    <row r="11" spans="1:25">
      <c r="A11" s="32"/>
      <c r="B11" s="32"/>
      <c r="C11" s="32"/>
      <c r="D11" s="32"/>
      <c r="E11" s="32"/>
      <c r="F11" s="32"/>
      <c r="G11" s="32"/>
      <c r="H11" s="32"/>
      <c r="I11" s="32"/>
      <c r="J11" s="32"/>
      <c r="K11" s="32"/>
      <c r="L11" s="32"/>
    </row>
    <row r="12" spans="1:25">
      <c r="A12" s="32"/>
      <c r="B12" s="32"/>
      <c r="C12" s="32"/>
      <c r="D12" s="32"/>
      <c r="E12" s="32"/>
      <c r="F12" s="32"/>
      <c r="G12" s="32"/>
      <c r="H12" s="32"/>
      <c r="I12" s="32"/>
      <c r="J12" s="32"/>
      <c r="K12" s="32"/>
      <c r="L12" s="32"/>
    </row>
    <row r="13" spans="1:25">
      <c r="A13" s="32"/>
      <c r="B13" s="32"/>
      <c r="C13" s="32"/>
      <c r="D13" s="32"/>
      <c r="E13" s="32"/>
      <c r="F13" s="32"/>
      <c r="G13" s="32"/>
      <c r="H13" s="32"/>
      <c r="I13" s="32"/>
      <c r="J13" s="32"/>
      <c r="K13" s="32"/>
      <c r="L13" s="32"/>
    </row>
    <row r="14" spans="1:25">
      <c r="A14" s="32"/>
      <c r="B14" s="32"/>
      <c r="C14" s="32"/>
      <c r="D14" s="32"/>
      <c r="E14" s="32"/>
      <c r="F14" s="32"/>
      <c r="G14" s="32"/>
      <c r="H14" s="32"/>
      <c r="I14" s="32"/>
      <c r="J14" s="32"/>
      <c r="K14" s="32"/>
      <c r="L14" s="32"/>
    </row>
    <row r="15" spans="1:25">
      <c r="A15" s="32"/>
      <c r="B15" s="32"/>
      <c r="C15" s="32"/>
      <c r="D15" s="32"/>
      <c r="E15" s="32"/>
      <c r="F15" s="32"/>
      <c r="G15" s="32"/>
      <c r="H15" s="32"/>
      <c r="I15" s="32"/>
      <c r="J15" s="32"/>
      <c r="K15" s="32"/>
      <c r="L15" s="32"/>
    </row>
    <row r="16" spans="1:25">
      <c r="A16" s="32"/>
      <c r="B16" s="32"/>
      <c r="C16" s="32"/>
      <c r="D16" s="32"/>
      <c r="E16" s="32"/>
      <c r="F16" s="32"/>
      <c r="G16" s="32"/>
      <c r="H16" s="32"/>
      <c r="I16" s="32"/>
      <c r="J16" s="32"/>
      <c r="K16" s="32"/>
      <c r="L16" s="32"/>
    </row>
    <row r="17" spans="1:14">
      <c r="A17" s="32"/>
      <c r="B17" s="32"/>
      <c r="C17" s="32"/>
      <c r="D17" s="32"/>
      <c r="E17" s="32"/>
      <c r="F17" s="32"/>
      <c r="G17" s="32"/>
      <c r="H17" s="32"/>
      <c r="I17" s="32"/>
      <c r="J17" s="32"/>
      <c r="K17" s="32"/>
      <c r="L17" s="32"/>
    </row>
    <row r="18" spans="1:14">
      <c r="A18" s="32"/>
      <c r="B18" s="32"/>
      <c r="C18" s="32"/>
      <c r="D18" s="32"/>
      <c r="E18" s="32"/>
      <c r="F18" s="32"/>
      <c r="G18" s="32"/>
      <c r="H18" s="32"/>
      <c r="I18" s="32"/>
      <c r="J18" s="32"/>
      <c r="K18" s="32"/>
      <c r="L18" s="32"/>
    </row>
    <row r="19" spans="1:14">
      <c r="A19" s="32"/>
      <c r="B19" s="32"/>
      <c r="C19" s="32"/>
      <c r="D19" s="32"/>
      <c r="E19" s="32"/>
      <c r="F19" s="32"/>
      <c r="G19" s="32"/>
      <c r="H19" s="32"/>
      <c r="I19" s="32"/>
      <c r="J19" s="32"/>
      <c r="K19" s="32"/>
      <c r="L19" s="32"/>
    </row>
    <row r="20" spans="1:14">
      <c r="A20" s="32"/>
      <c r="B20" s="32"/>
      <c r="C20" s="32"/>
      <c r="D20" s="32"/>
      <c r="E20" s="32"/>
      <c r="F20" s="32"/>
      <c r="G20" s="32"/>
      <c r="H20" s="32"/>
      <c r="I20" s="32"/>
      <c r="J20" s="32"/>
      <c r="K20" s="32"/>
      <c r="L20" s="32"/>
    </row>
    <row r="21" spans="1:14">
      <c r="A21" s="32"/>
      <c r="B21" s="32"/>
      <c r="C21" s="32"/>
      <c r="D21" s="32"/>
      <c r="E21" s="32"/>
      <c r="F21" s="32"/>
      <c r="G21" s="32"/>
      <c r="H21" s="32"/>
      <c r="I21" s="32"/>
      <c r="J21" s="32"/>
      <c r="K21" s="32"/>
      <c r="L21" s="32"/>
    </row>
    <row r="22" spans="1:14">
      <c r="A22" s="32"/>
      <c r="B22" s="32"/>
      <c r="C22" s="32"/>
      <c r="D22" s="32"/>
      <c r="E22" s="32"/>
      <c r="F22" s="32"/>
      <c r="G22" s="32"/>
      <c r="H22" s="32"/>
      <c r="I22" s="32"/>
      <c r="J22" s="32"/>
      <c r="K22" s="32"/>
      <c r="L22" s="32"/>
    </row>
    <row r="23" spans="1:14">
      <c r="A23" s="32"/>
      <c r="B23" s="32"/>
      <c r="C23" s="32"/>
      <c r="D23" s="32"/>
      <c r="E23" s="32"/>
      <c r="F23" s="32"/>
      <c r="G23" s="32"/>
      <c r="H23" s="32"/>
      <c r="I23" s="32"/>
      <c r="J23" s="32"/>
      <c r="K23" s="32"/>
      <c r="L23" s="32"/>
    </row>
    <row r="24" spans="1:14">
      <c r="A24" s="32"/>
      <c r="B24" s="32"/>
      <c r="C24" s="32"/>
      <c r="D24" s="32"/>
      <c r="E24" s="32"/>
      <c r="F24" s="32"/>
      <c r="G24" s="32"/>
      <c r="H24" s="32"/>
      <c r="I24" s="32"/>
      <c r="J24" s="32"/>
      <c r="K24" s="32"/>
      <c r="L24" s="32"/>
    </row>
    <row r="25" spans="1:14" ht="24" customHeight="1">
      <c r="A25" s="63" t="s">
        <v>543</v>
      </c>
      <c r="B25" s="63"/>
      <c r="C25" s="63"/>
      <c r="D25" s="63"/>
      <c r="E25" s="63"/>
      <c r="F25" s="65" t="s">
        <v>585</v>
      </c>
      <c r="G25" s="65"/>
      <c r="H25" s="65"/>
      <c r="I25" s="65"/>
      <c r="J25" s="65"/>
      <c r="K25" s="65"/>
      <c r="L25" s="65"/>
    </row>
    <row r="26" spans="1:14" ht="27.75" customHeight="1">
      <c r="A26" s="71" t="s">
        <v>573</v>
      </c>
      <c r="B26" s="71"/>
      <c r="C26" s="71"/>
      <c r="D26" s="71"/>
      <c r="E26" s="54" t="s">
        <v>580</v>
      </c>
      <c r="F26" s="74"/>
      <c r="G26" s="74"/>
      <c r="H26" s="55" t="s">
        <v>581</v>
      </c>
      <c r="I26" s="55"/>
      <c r="J26" s="55"/>
      <c r="K26" s="55"/>
      <c r="L26" s="55"/>
      <c r="M26" s="31"/>
      <c r="N26" s="31"/>
    </row>
    <row r="27" spans="1:14" ht="30.75" customHeight="1">
      <c r="A27" s="32"/>
      <c r="B27" s="32"/>
      <c r="C27" s="32"/>
      <c r="D27" s="32"/>
      <c r="E27" s="53" t="s">
        <v>582</v>
      </c>
      <c r="F27" s="53"/>
      <c r="G27" s="53"/>
      <c r="H27" s="55" t="s">
        <v>583</v>
      </c>
      <c r="I27" s="55"/>
      <c r="J27" s="55"/>
      <c r="K27" s="55"/>
      <c r="L27" s="55"/>
    </row>
    <row r="28" spans="1:14" ht="15" customHeight="1">
      <c r="A28" s="72" t="s">
        <v>523</v>
      </c>
      <c r="B28" s="72" t="s">
        <v>506</v>
      </c>
      <c r="C28" s="72" t="s">
        <v>482</v>
      </c>
      <c r="D28" s="72" t="s">
        <v>423</v>
      </c>
      <c r="E28" s="53"/>
      <c r="F28" s="53"/>
      <c r="G28" s="53"/>
      <c r="H28" s="55"/>
      <c r="I28" s="55"/>
      <c r="J28" s="55"/>
      <c r="K28" s="55"/>
      <c r="L28" s="55"/>
    </row>
    <row r="29" spans="1:14" ht="15" customHeight="1">
      <c r="A29" s="72"/>
      <c r="B29" s="72"/>
      <c r="C29" s="72"/>
      <c r="D29" s="72"/>
      <c r="E29" s="54" t="s">
        <v>549</v>
      </c>
      <c r="F29" s="54"/>
      <c r="G29" s="54"/>
      <c r="H29" s="55" t="s">
        <v>584</v>
      </c>
      <c r="I29" s="55"/>
      <c r="J29" s="55"/>
      <c r="K29" s="55"/>
      <c r="L29" s="55"/>
    </row>
    <row r="30" spans="1:14" ht="15" customHeight="1">
      <c r="A30" s="73" t="s">
        <v>505</v>
      </c>
      <c r="B30" s="73">
        <v>300</v>
      </c>
      <c r="C30" s="73" t="s">
        <v>574</v>
      </c>
      <c r="D30" s="41" t="s">
        <v>575</v>
      </c>
      <c r="E30" s="54"/>
      <c r="F30" s="54"/>
      <c r="G30" s="54"/>
      <c r="H30" s="55"/>
      <c r="I30" s="55"/>
      <c r="J30" s="55"/>
      <c r="K30" s="55"/>
      <c r="L30" s="55"/>
    </row>
    <row r="31" spans="1:14" ht="15" customHeight="1">
      <c r="A31" s="73"/>
      <c r="B31" s="73"/>
      <c r="C31" s="73"/>
      <c r="D31" s="41"/>
      <c r="E31" s="54" t="s">
        <v>553</v>
      </c>
      <c r="F31" s="54"/>
      <c r="G31" s="54"/>
      <c r="H31" s="76" t="s">
        <v>554</v>
      </c>
      <c r="I31" s="76"/>
      <c r="J31" s="76"/>
      <c r="K31" s="76"/>
      <c r="L31" s="76"/>
    </row>
    <row r="32" spans="1:14" ht="15" customHeight="1">
      <c r="A32" s="73" t="s">
        <v>504</v>
      </c>
      <c r="B32" s="73">
        <v>81</v>
      </c>
      <c r="C32" s="73" t="s">
        <v>576</v>
      </c>
      <c r="D32" s="41" t="s">
        <v>577</v>
      </c>
      <c r="E32" s="54"/>
      <c r="F32" s="54"/>
      <c r="G32" s="54"/>
      <c r="H32" s="76"/>
      <c r="I32" s="76"/>
      <c r="J32" s="76"/>
      <c r="K32" s="76"/>
      <c r="L32" s="76"/>
    </row>
    <row r="33" spans="1:12" ht="15" customHeight="1">
      <c r="A33" s="73"/>
      <c r="B33" s="73"/>
      <c r="C33" s="73"/>
      <c r="D33" s="41"/>
      <c r="E33" s="54" t="s">
        <v>555</v>
      </c>
      <c r="F33" s="54"/>
      <c r="G33" s="54"/>
      <c r="H33" s="75" t="s">
        <v>556</v>
      </c>
      <c r="I33" s="75"/>
      <c r="J33" s="75"/>
      <c r="K33" s="75"/>
      <c r="L33" s="75"/>
    </row>
    <row r="34" spans="1:12" ht="15" customHeight="1">
      <c r="A34" s="72" t="s">
        <v>545</v>
      </c>
      <c r="B34" s="72">
        <v>381</v>
      </c>
      <c r="C34" s="72" t="s">
        <v>563</v>
      </c>
      <c r="D34" s="72" t="s">
        <v>578</v>
      </c>
      <c r="E34" s="54"/>
      <c r="F34" s="54"/>
      <c r="G34" s="54"/>
      <c r="H34" s="75"/>
      <c r="I34" s="75"/>
      <c r="J34" s="75"/>
      <c r="K34" s="75"/>
      <c r="L34" s="75"/>
    </row>
    <row r="35" spans="1:12" ht="15" customHeight="1">
      <c r="A35" s="72"/>
      <c r="B35" s="72"/>
      <c r="C35" s="72"/>
      <c r="D35" s="72"/>
      <c r="E35" s="54" t="s">
        <v>557</v>
      </c>
      <c r="F35" s="54"/>
      <c r="G35" s="54"/>
      <c r="H35" s="55" t="s">
        <v>558</v>
      </c>
      <c r="I35" s="55"/>
      <c r="J35" s="55"/>
      <c r="K35" s="55"/>
      <c r="L35" s="55"/>
    </row>
    <row r="36" spans="1:12" ht="15" customHeight="1">
      <c r="A36" s="66" t="s">
        <v>579</v>
      </c>
      <c r="B36" s="66"/>
      <c r="C36" s="66"/>
      <c r="D36" s="66"/>
      <c r="E36" s="54"/>
      <c r="F36" s="54"/>
      <c r="G36" s="54"/>
      <c r="H36" s="55"/>
      <c r="I36" s="55"/>
      <c r="J36" s="55"/>
      <c r="K36" s="55"/>
      <c r="L36" s="55"/>
    </row>
  </sheetData>
  <mergeCells count="51">
    <mergeCell ref="H26:L26"/>
    <mergeCell ref="H27:L28"/>
    <mergeCell ref="H29:L30"/>
    <mergeCell ref="H31:L32"/>
    <mergeCell ref="H33:L34"/>
    <mergeCell ref="E31:G32"/>
    <mergeCell ref="E33:G34"/>
    <mergeCell ref="E35:G36"/>
    <mergeCell ref="H35:L36"/>
    <mergeCell ref="B34:B35"/>
    <mergeCell ref="C34:C35"/>
    <mergeCell ref="E26:G26"/>
    <mergeCell ref="E27:G28"/>
    <mergeCell ref="E29:G30"/>
    <mergeCell ref="A26:D26"/>
    <mergeCell ref="A36:D36"/>
    <mergeCell ref="A28:A29"/>
    <mergeCell ref="B28:B29"/>
    <mergeCell ref="C28:C29"/>
    <mergeCell ref="A30:A31"/>
    <mergeCell ref="B30:B31"/>
    <mergeCell ref="C30:C31"/>
    <mergeCell ref="A32:A33"/>
    <mergeCell ref="D28:D29"/>
    <mergeCell ref="D30:D31"/>
    <mergeCell ref="D32:D33"/>
    <mergeCell ref="D34:D35"/>
    <mergeCell ref="B32:B33"/>
    <mergeCell ref="C32:C33"/>
    <mergeCell ref="A34:A35"/>
    <mergeCell ref="I5:J5"/>
    <mergeCell ref="I6:J8"/>
    <mergeCell ref="K5:L5"/>
    <mergeCell ref="K6:L8"/>
    <mergeCell ref="A9:E9"/>
    <mergeCell ref="A1:L1"/>
    <mergeCell ref="A2:L2"/>
    <mergeCell ref="A3:L3"/>
    <mergeCell ref="A25:E25"/>
    <mergeCell ref="A10:E10"/>
    <mergeCell ref="F25:L25"/>
    <mergeCell ref="F10:L10"/>
    <mergeCell ref="F9:L9"/>
    <mergeCell ref="A5:B5"/>
    <mergeCell ref="A6:B8"/>
    <mergeCell ref="C5:D5"/>
    <mergeCell ref="C6:D8"/>
    <mergeCell ref="E5:F5"/>
    <mergeCell ref="E6:F8"/>
    <mergeCell ref="G5:H5"/>
    <mergeCell ref="G6:H8"/>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75F0B2-587C-4698-9E9C-5DF36EB8AC2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Historical Data</vt:lpstr>
      <vt:lpstr>Data Dictionary</vt:lpstr>
      <vt:lpstr>Data Quality</vt:lpstr>
      <vt:lpstr>Daily_Analysis</vt:lpstr>
      <vt:lpstr>Formula Analysis</vt:lpstr>
      <vt:lpstr>PivotTables</vt:lpstr>
      <vt:lpstr>Business Insights</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2026-08-24T06:02:14Z</dcterms:modified>
</cp:coreProperties>
</file>